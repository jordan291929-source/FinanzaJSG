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Empezar aqui" sheetId="1" state="visible" r:id="rId3"/>
    <sheet name="1 Perfil" sheetId="2" state="visible" r:id="rId4"/>
    <sheet name="2 Cuentas" sheetId="3" state="visible" r:id="rId5"/>
    <sheet name="3 Tarjetas" sheetId="4" state="visible" r:id="rId6"/>
    <sheet name="4 Cuotas tarjeta" sheetId="5" state="visible" r:id="rId7"/>
    <sheet name="5 Prestamos" sheetId="6" state="visible" r:id="rId8"/>
    <sheet name="6 Cargos fijos" sheetId="7" state="visible" r:id="rId9"/>
    <sheet name="7 Presupuesto" sheetId="8" state="visible" r:id="rId10"/>
    <sheet name="8 Meta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<sst xmlns="http://schemas.openxmlformats.org/spreadsheetml/2006/main" count="269" uniqueCount="232">
  <si>
    <t xml:space="preserve">Empezar de nuevo, bien</t>
  </si>
  <si>
    <t xml:space="preserve">Plantilla para registrar tu foto financiera de hoy y cargarla en la app.</t>
  </si>
  <si>
    <t xml:space="preserve">Como funciona</t>
  </si>
  <si>
    <t xml:space="preserve">1. Llena las hojas 1 a 8. Solo las celdas amarillas.</t>
  </si>
  <si>
    <t xml:space="preserve">2. Me devuelves el archivo.</t>
  </si>
  <si>
    <t xml:space="preserve">3. Yo lo convierto en una copia de respaldo (.json) y te la paso.</t>
  </si>
  <si>
    <t xml:space="preserve">4. En la app: Ajustes &gt; Copias y datos &gt; Restaurar copia (JSON). Reemplaza todo lo que haya.</t>
  </si>
  <si>
    <t xml:space="preserve">   Desde ahi en adelante anotas en la app y la bandeja del banco te ayuda sola.</t>
  </si>
  <si>
    <t xml:space="preserve">Las dos reglas de esta plantilla</t>
  </si>
  <si>
    <t xml:space="preserve">Amarillo = lo llenas tu.   Gris = lo calcula la hoja, no lo toques.</t>
  </si>
  <si>
    <t xml:space="preserve">Las filas en gris cursiva son EJEMPLOS: borralas antes de devolverme el archivo.</t>
  </si>
  <si>
    <t xml:space="preserve">Lo mas importante: pon saldos y deudas de HOY, no los originales</t>
  </si>
  <si>
    <t xml:space="preserve">En prestamos y cuotas no quiero el monto que te prestaron, quiero lo que te FALTA pagar y cuantas cuotas quedan. La app arranca sin historial, asi que si le das el monto original va a creer que debes todo otra vez y cada numero que te muestre va a estar inflado.</t>
  </si>
  <si>
    <t xml:space="preserve">Las hojas</t>
  </si>
  <si>
    <t xml:space="preserve">   1 Perfil — tu sueldo y descuentos. De aqui sale el presupuesto 50/30/20.</t>
  </si>
  <si>
    <t xml:space="preserve">   2 Cuentas — donde tienes plata hoy y cuanto hay en cada sitio.</t>
  </si>
  <si>
    <t xml:space="preserve">   3 Tarjetas — linea, dia de pago y dia de cierre de cada tarjeta.</t>
  </si>
  <si>
    <t xml:space="preserve">   4 Cuotas tarjeta — una fila por compra en cuotas que sigues pagando.</t>
  </si>
  <si>
    <t xml:space="preserve">   5 Prestamos — una fila por prestamo, con lo que falta.</t>
  </si>
  <si>
    <t xml:space="preserve">   6 Cargos fijos — lo que se repite cada mes (celular, internet, streaming).</t>
  </si>
  <si>
    <t xml:space="preserve">   7 Presupuesto — cuanto quieres gastar al mes en cada categoria.</t>
  </si>
  <si>
    <t xml:space="preserve">   8 Metas — para que estas ahorrando.</t>
  </si>
  <si>
    <t xml:space="preserve">Seguridad</t>
  </si>
  <si>
    <t xml:space="preserve">Nunca escribas contrasenas, claves de internet ni el numero completo de una tarjeta. Los ultimos 4 digitos son opcionales y sirven solo para que reconozcas la tarjeta en pantalla.</t>
  </si>
  <si>
    <t xml:space="preserve">Nombres que conviene no cambiar</t>
  </si>
  <si>
    <t xml:space="preserve">El lector de correos del banco reconoce la cuenta o tarjeta por su NOMBRE. Si le cambias el nombre a las filas que ya vienen escritas, la bandeja deja de asignarlas sola y te va a tocar elegir a mano cada vez. Puedes agregar las que quieras, eso no rompe nada.</t>
  </si>
  <si>
    <t xml:space="preserve">1. Tu perfil</t>
  </si>
  <si>
    <t xml:space="preserve">De aqui sale tu sueldo neto y el objetivo 50/30/20.</t>
  </si>
  <si>
    <t xml:space="preserve">Dato</t>
  </si>
  <si>
    <t xml:space="preserve">Valor</t>
  </si>
  <si>
    <t xml:space="preserve">Para que sirve / que poner</t>
  </si>
  <si>
    <t xml:space="preserve">Tu nombre</t>
  </si>
  <si>
    <t xml:space="preserve">Jordan</t>
  </si>
  <si>
    <t xml:space="preserve">Sale en el estado de cuenta mensual.</t>
  </si>
  <si>
    <t xml:space="preserve">Fecha de corte</t>
  </si>
  <si>
    <t xml:space="preserve">2026-09-30</t>
  </si>
  <si>
    <t xml:space="preserve">Los saldos de la hoja 2 son a esta fecha. Dejala asi para arrancar limpio en octubre.</t>
  </si>
  <si>
    <t xml:space="preserve">Sueldo bruto mensual (S/)</t>
  </si>
  <si>
    <t xml:space="preserve">Lo que dice tu boleta ANTES de descuentos.</t>
  </si>
  <si>
    <t xml:space="preserve">Aporte AFP (%)</t>
  </si>
  <si>
    <t xml:space="preserve">Lo tipico es 10%. Revisa tu boleta.</t>
  </si>
  <si>
    <t xml:space="preserve">Comision AFP (%)</t>
  </si>
  <si>
    <t xml:space="preserve">Depende de tu AFP. Si no sabes, deja el valor que viene.</t>
  </si>
  <si>
    <t xml:space="preserve">Prima de seguro AFP (%)</t>
  </si>
  <si>
    <t xml:space="preserve">Igual: si no sabes, dejalo.</t>
  </si>
  <si>
    <t xml:space="preserve">Otros descuentos fijos (S/)</t>
  </si>
  <si>
    <t xml:space="preserve">Quinta categoria, prestamo descontado por planilla, etc.</t>
  </si>
  <si>
    <t xml:space="preserve">Otros ingresos fijos (S/)</t>
  </si>
  <si>
    <t xml:space="preserve">Algo que entra todos los meses aparte del sueldo.</t>
  </si>
  <si>
    <t xml:space="preserve">Te pagan en quincenas?</t>
  </si>
  <si>
    <t xml:space="preserve">Si</t>
  </si>
  <si>
    <t xml:space="preserve">Si o No.</t>
  </si>
  <si>
    <t xml:space="preserve">Quincena 1 - dia 15 (S/)</t>
  </si>
  <si>
    <t xml:space="preserve">Lo que te cae a mitad de mes. Si cae sabado, domingo o feriado la app lo adelanta sola.</t>
  </si>
  <si>
    <t xml:space="preserve">Quincena 2 - fin de mes (S/)</t>
  </si>
  <si>
    <t xml:space="preserve">Lo que te cae a fin de mes.</t>
  </si>
  <si>
    <t xml:space="preserve">Cuenta donde cae el sueldo</t>
  </si>
  <si>
    <t xml:space="preserve">Cuenta Sueldo BCP</t>
  </si>
  <si>
    <t xml:space="preserve">Escribela igual que en la hoja 2 Cuentas.</t>
  </si>
  <si>
    <t xml:space="preserve">Sueldo neto estimado (S/)</t>
  </si>
  <si>
    <t xml:space="preserve">Bruto menos AFP y otros descuentos. Es la misma formula que usa la app.</t>
  </si>
  <si>
    <t xml:space="preserve">Ingreso mensual total (S/)</t>
  </si>
  <si>
    <t xml:space="preserve">Neto + otros ingresos. Sobre este numero se reparte el 50/30/20.</t>
  </si>
  <si>
    <t xml:space="preserve">Tu neto real son 2,969.94 (tus dos quincenas). Con bruto 3,500 y la AFP al 12.9% salian 3,048.50, asi que los 78.56 que sobraban van como 'otros descuentos'. Si en tu boleta ves de que es ese descuento, dimelo y lo nombramos bien.</t>
  </si>
  <si>
    <t xml:space="preserve">2. Donde tienes plata hoy</t>
  </si>
  <si>
    <t xml:space="preserve">Entra a cada banco y copia el saldo tal como esta. Sin redondear.</t>
  </si>
  <si>
    <t xml:space="preserve">Nombre de la cuenta</t>
  </si>
  <si>
    <t xml:space="preserve">Saldo hoy (S/)</t>
  </si>
  <si>
    <t xml:space="preserve">Para que la usas (opcional)</t>
  </si>
  <si>
    <t xml:space="preserve">Efectivo</t>
  </si>
  <si>
    <t xml:space="preserve">Emergencia</t>
  </si>
  <si>
    <t xml:space="preserve">Cuenta BCP / Yape </t>
  </si>
  <si>
    <t xml:space="preserve">Compras </t>
  </si>
  <si>
    <t xml:space="preserve">Sueldo</t>
  </si>
  <si>
    <t xml:space="preserve">Wardadito BCP</t>
  </si>
  <si>
    <t xml:space="preserve">Ahorro</t>
  </si>
  <si>
    <t xml:space="preserve">Cuenta Interbank / Plin </t>
  </si>
  <si>
    <t xml:space="preserve">Caja Huancayo</t>
  </si>
  <si>
    <t xml:space="preserve">Ripley Max</t>
  </si>
  <si>
    <t xml:space="preserve">Total que tienes hoy</t>
  </si>
  <si>
    <t xml:space="preserve">Los seis nombres que ya vienen escritos son los que el lector de correos reconoce solo. Si no usas alguno, borra la fila.</t>
  </si>
  <si>
    <t xml:space="preserve">Si una cuenta esta en dolares, escribelo en la ultima columna y pon el saldo en dolares: yo lo convierto y te digo con que tipo de cambio.</t>
  </si>
  <si>
    <t xml:space="preserve">Los wardaditos van aparte, como los tienes. No los sumes aqui si no quieres verlos como disponible.</t>
  </si>
  <si>
    <t xml:space="preserve">3. Tus tarjetas de credito</t>
  </si>
  <si>
    <t xml:space="preserve">Solo los datos de la tarjeta. Las cuotas van en la hoja 4.</t>
  </si>
  <si>
    <t xml:space="preserve">Nombre de la tarjeta</t>
  </si>
  <si>
    <t xml:space="preserve">Linea de credito (S/)</t>
  </si>
  <si>
    <t xml:space="preserve">Dia de pago</t>
  </si>
  <si>
    <t xml:space="preserve">Dia de cierre</t>
  </si>
  <si>
    <t xml:space="preserve">Pago minimo (S/)</t>
  </si>
  <si>
    <t xml:space="preserve">Ultimos 4 digitos (opcional)</t>
  </si>
  <si>
    <t xml:space="preserve">Tarjeta BCP</t>
  </si>
  <si>
    <t xml:space="preserve">Tarjeta Interbank</t>
  </si>
  <si>
    <t xml:space="preserve">Dia de cierre = el dia en que el banco corta el mes. BCP suele ser 25; Interbank, fin de mes (pon 31).</t>
  </si>
  <si>
    <t xml:space="preserve">Dia de pago = la fecha limite que aparece en tu estado de cuenta.</t>
  </si>
  <si>
    <t xml:space="preserve">Pago minimo: si no lo tienes a mano dejalo vacio, no rompe nada.</t>
  </si>
  <si>
    <t xml:space="preserve">Mantener 'BCP' y 'Interbank' en el nombre es lo que permite que la bandeja de correos las reconozca.</t>
  </si>
  <si>
    <t xml:space="preserve">4. Lo que sigues pagando con tarjeta</t>
  </si>
  <si>
    <t xml:space="preserve">Una fila por compra en cuotas. Lo que FALTA, no el precio original.</t>
  </si>
  <si>
    <t xml:space="preserve">Tarjeta</t>
  </si>
  <si>
    <t xml:space="preserve">Que compraste</t>
  </si>
  <si>
    <t xml:space="preserve">Saldo que falta (S/)</t>
  </si>
  <si>
    <t xml:space="preserve">Cuotas que faltan</t>
  </si>
  <si>
    <t xml:space="preserve">TEA (%)</t>
  </si>
  <si>
    <t xml:space="preserve">Mes de la proxima cuota (1-12)</t>
  </si>
  <si>
    <t xml:space="preserve">Ano</t>
  </si>
  <si>
    <t xml:space="preserve">Cuota mensual (calculada)</t>
  </si>
  <si>
    <t xml:space="preserve">General - inicio 1</t>
  </si>
  <si>
    <t xml:space="preserve">General - inicio 2</t>
  </si>
  <si>
    <t xml:space="preserve">Total deuda en cuotas</t>
  </si>
  <si>
    <t xml:space="preserve">Borra la fila del ejemplo en gris.</t>
  </si>
  <si>
    <t xml:space="preserve">Si usaste la tarjeta y lo vas a pagar de un solo golpe, ponlo igual: cuotas que faltan = 1.</t>
  </si>
  <si>
    <t xml:space="preserve">TEA: si la compra fue sin intereses pon 0%. Si no sabes, pon 0% y dime, y lo ajustamos despues.</t>
  </si>
  <si>
    <t xml:space="preserve">Mes de la proxima cuota: el mes en que te cobran la siguiente, no cuando compraste.</t>
  </si>
  <si>
    <t xml:space="preserve">La ultima columna es solo para que verifiques: si no te cuadra con tu estado de cuenta, avisame.</t>
  </si>
  <si>
    <t xml:space="preserve">5. Tus prestamos</t>
  </si>
  <si>
    <t xml:space="preserve">Otra vez: lo que FALTA pagar, no lo que te prestaron.</t>
  </si>
  <si>
    <t xml:space="preserve">Nombre del prestamo</t>
  </si>
  <si>
    <t xml:space="preserve">Saldo pendiente hoy (S/)</t>
  </si>
  <si>
    <t xml:space="preserve">Cuota mensual (S/)</t>
  </si>
  <si>
    <t xml:space="preserve">Prestamo Caja Huancayo</t>
  </si>
  <si>
    <t xml:space="preserve">Prestamo BCP</t>
  </si>
  <si>
    <t xml:space="preserve">Prestamo Ripley</t>
  </si>
  <si>
    <t xml:space="preserve">Total que debes</t>
  </si>
  <si>
    <t xml:space="preserve">Si el nombre lleva 'Huancayo' o 'Ripley', cuando llegue el correo de ese pago la app te propone abonarlo a ESA deuda sola.</t>
  </si>
  <si>
    <t xml:space="preserve">Si no sabes el saldo exacto, pon cuota x cuotas que faltan y marcalo: sera una estimacion y te lo voy a decir asi.</t>
  </si>
  <si>
    <t xml:space="preserve">6. Lo que se repite todos los meses</t>
  </si>
  <si>
    <t xml:space="preserve">La app los va cargando sola cada mes para que no se te olviden.</t>
  </si>
  <si>
    <t xml:space="preserve">Concepto</t>
  </si>
  <si>
    <t xml:space="preserve">Categoria</t>
  </si>
  <si>
    <t xml:space="preserve">Monto (S/)</t>
  </si>
  <si>
    <t xml:space="preserve">Dia del mes</t>
  </si>
  <si>
    <t xml:space="preserve">De que cuenta sale</t>
  </si>
  <si>
    <t xml:space="preserve">iCloud</t>
  </si>
  <si>
    <t xml:space="preserve">Servicios (luz, agua, internet, cel)</t>
  </si>
  <si>
    <t xml:space="preserve">Claro</t>
  </si>
  <si>
    <t xml:space="preserve">Movistar</t>
  </si>
  <si>
    <t xml:space="preserve">Total fijo al mes</t>
  </si>
  <si>
    <t xml:space="preserve">Sale de tu Excel de gastos (GASTO FIJO): iCloud 45, Claro 50, Movistar 80. Total 175 al mes.</t>
  </si>
  <si>
    <t xml:space="preserve">Lo que yo puse a ojo y tienes que corregir: el dia de cobro de cada uno (5, 10 y 15) y que los tres salgan de la Cuenta Sueldo BCP.</t>
  </si>
  <si>
    <t xml:space="preserve">El 'BCP 260' de tu Excel no esta aqui: es el prestamo BCP de 266.42 que ya pusiste en la hoja 5. Ponerlo dos veces te duplicaria el gasto.</t>
  </si>
  <si>
    <t xml:space="preserve">No pongas aqui las cuotas de tarjeta ni los prestamos: ya estan en las hojas 4 y 5.</t>
  </si>
  <si>
    <t xml:space="preserve">7. Cuanto quieres gastar al mes</t>
  </si>
  <si>
    <t xml:space="preserve">Estas son las categorias que ya trae la app. Pon un limite a las que uses.</t>
  </si>
  <si>
    <t xml:space="preserve">Grupo</t>
  </si>
  <si>
    <t xml:space="preserve">Limite al mes (S/)</t>
  </si>
  <si>
    <t xml:space="preserve">Comentario (opcional)</t>
  </si>
  <si>
    <t xml:space="preserve">Alimentacion</t>
  </si>
  <si>
    <t xml:space="preserve">Necesidad</t>
  </si>
  <si>
    <t xml:space="preserve">Tu Excel: 750 al mes todo 2027 (25 al dia).</t>
  </si>
  <si>
    <t xml:space="preserve">Transporte</t>
  </si>
  <si>
    <t xml:space="preserve">Tu Excel: 150 al mes.</t>
  </si>
  <si>
    <t xml:space="preserve">iCloud 45 + Claro 50 + Movistar 80, igual que la hoja 6.</t>
  </si>
  <si>
    <t xml:space="preserve">Vivienda / Alquiler</t>
  </si>
  <si>
    <t xml:space="preserve">No tienes alquiler en tu Excel.</t>
  </si>
  <si>
    <t xml:space="preserve">Salud</t>
  </si>
  <si>
    <t xml:space="preserve">Tu Excel no tiene nada de salud. Si gastas en farmacia, ponle un limite.</t>
  </si>
  <si>
    <t xml:space="preserve">Pago de deudas</t>
  </si>
  <si>
    <t xml:space="preserve">Deuda</t>
  </si>
  <si>
    <t xml:space="preserve">Dejalo en cero: la app lo pone sola igual a las cuotas del mes.</t>
  </si>
  <si>
    <t xml:space="preserve">Gym / Deporte</t>
  </si>
  <si>
    <t xml:space="preserve">Gusto</t>
  </si>
  <si>
    <t xml:space="preserve">Tu Excel: 200 al mes desde enero 2027 (en 2026 estaba en cero).</t>
  </si>
  <si>
    <t xml:space="preserve">Restaurantes / Salidas</t>
  </si>
  <si>
    <t xml:space="preserve">Tu Excel no lo separa. Si quieres verlo aparte, sacale plata a Alimentacion u Otros.</t>
  </si>
  <si>
    <t xml:space="preserve">Entretenimiento</t>
  </si>
  <si>
    <t xml:space="preserve">Tu Excel no lo tiene. Streaming y salidas estan dentro de Otros.</t>
  </si>
  <si>
    <t xml:space="preserve">Ropa</t>
  </si>
  <si>
    <t xml:space="preserve">Tu Excel: 300 cada dos meses = 150 al mes en promedio. Si prefieres que no te marque exceso el mes que compras, sube a 300.</t>
  </si>
  <si>
    <t xml:space="preserve">Otros</t>
  </si>
  <si>
    <t xml:space="preserve">Tu Excel: 300 al mes.</t>
  </si>
  <si>
    <t xml:space="preserve">Ahorro / Fondo</t>
  </si>
  <si>
    <t xml:space="preserve">En cero a proposito: con tus cuotas de hoy no sobra para ahorrar.</t>
  </si>
  <si>
    <t xml:space="preserve">Aporte a metas</t>
  </si>
  <si>
    <t xml:space="preserve">En cero por lo mismo.</t>
  </si>
  <si>
    <t xml:space="preserve">Total asignado</t>
  </si>
  <si>
    <t xml:space="preserve">Objetivo 50/30/20 sobre tu ingreso</t>
  </si>
  <si>
    <t xml:space="preserve">Objetivo (S/)</t>
  </si>
  <si>
    <t xml:space="preserve">Lo que asignaste (S/)</t>
  </si>
  <si>
    <t xml:space="preserve">Diferencia (S/)</t>
  </si>
  <si>
    <t xml:space="preserve">Necesidades (50%)</t>
  </si>
  <si>
    <t xml:space="preserve">Gustos (30%)</t>
  </si>
  <si>
    <t xml:space="preserve">Ahorro y deuda (20%)</t>
  </si>
  <si>
    <t xml:space="preserve">El objetivo sale de tu ingreso mensual de la hoja 1 Perfil. Si esa hoja esta vacia, aqui vas a ver ceros.</t>
  </si>
  <si>
    <t xml:space="preserve">La diferencia en positivo significa que estas asignando mas de lo que recomienda la regla. No es un error, es un dato.</t>
  </si>
  <si>
    <t xml:space="preserve">Pago de deudas no necesita limite: la app lo pone sola igual a las cuotas del mes.</t>
  </si>
  <si>
    <t xml:space="preserve">Lo que entra y lo que sale, con tus numeros</t>
  </si>
  <si>
    <t xml:space="preserve">Lo que te cae al mes (tus dos quincenas)</t>
  </si>
  <si>
    <t xml:space="preserve">2,969.94. Es tu neto real, confirmado por ti.</t>
  </si>
  <si>
    <t xml:space="preserve">Lo que cuesta vivir al mes</t>
  </si>
  <si>
    <t xml:space="preserve">El total de limites de arriba.</t>
  </si>
  <si>
    <t xml:space="preserve">Cuotas de tarjeta de octubre 2026</t>
  </si>
  <si>
    <t xml:space="preserve">Las cuatro compras de la hoja 4 arrancan en octubre, asi que todas caen este mes.</t>
  </si>
  <si>
    <t xml:space="preserve">Cuotas de prestamos al mes</t>
  </si>
  <si>
    <t xml:space="preserve">Los cinco prestamos de la hoja 5.</t>
  </si>
  <si>
    <t xml:space="preserve">Total a pagar en octubre 2026</t>
  </si>
  <si>
    <t xml:space="preserve">Vivir + tarjetas + prestamos.</t>
  </si>
  <si>
    <t xml:space="preserve">Te falta en octubre</t>
  </si>
  <si>
    <t xml:space="preserve">Lo tendrias que sacar de tus cuentas o de la Caja Huancayo.</t>
  </si>
  <si>
    <t xml:space="preserve">Cuotas de tarjeta de noviembre 2026</t>
  </si>
  <si>
    <t xml:space="preserve">Las dos compras que siguen vivas: BCP 1,550 + Interbank 1,000. Puesto a mano, no sale de una formula.</t>
  </si>
  <si>
    <t xml:space="preserve">Viaje a Argentina (una sola vez)</t>
  </si>
  <si>
    <t xml:space="preserve">Lo que falta del viaje. El pasaje de 2,500 ya lo pagaste, asi que no se cuenta otra vez.</t>
  </si>
  <si>
    <t xml:space="preserve">Total a pagar en noviembre 2026</t>
  </si>
  <si>
    <t xml:space="preserve">Vivir + tarjetas + prestamos + viaje.</t>
  </si>
  <si>
    <t xml:space="preserve">Te falta en noviembre</t>
  </si>
  <si>
    <t xml:space="preserve">El mes mas caro de los dos.</t>
  </si>
  <si>
    <t xml:space="preserve">Total a pagar desde enero 2027</t>
  </si>
  <si>
    <t xml:space="preserve">En enero ya no quedan cuotas de tarjeta: solo prestamos.</t>
  </si>
  <si>
    <t xml:space="preserve">Te falta cada mes desde enero 2027</t>
  </si>
  <si>
    <t xml:space="preserve">Este es el hueco de fondo, el que no se arregla solo hasta marzo de 2028.</t>
  </si>
  <si>
    <t xml:space="preserve">Grati + CTS + bono, repartido por mes</t>
  </si>
  <si>
    <t xml:space="preserve">De tu Excel 2027: grati 3,500 x2, CTS 1,750 x2, bono 3,500 = 14,000 al ano.</t>
  </si>
  <si>
    <t xml:space="preserve">Te falta desde enero contando grati, CTS y bono</t>
  </si>
  <si>
    <t xml:space="preserve">Asi queda si toda la grati y la CTS van a tapar esto.</t>
  </si>
  <si>
    <t xml:space="preserve">Los gastos salen de tu Excel 'Finanzas_personal_1', hoja General, plan 2027.</t>
  </si>
  <si>
    <t xml:space="preserve">El sueldo de octubre de 8,700.74 que estaba en tu Excel no era real: era un tanteo. Aqui va tu neto de siempre.</t>
  </si>
  <si>
    <t xml:space="preserve">Tu Excel presupuesta 500 al mes de tarjeta BCP todo 2027. No lo puse: segun la hoja 4 la terminas en diciembre, y eso solo se cumple si dejas de usarla. Los numeros de arriba son el escenario de no volver a usarla.</t>
  </si>
  <si>
    <t xml:space="preserve">8. Para que estas ahorrando</t>
  </si>
  <si>
    <t xml:space="preserve">Si no tienes ninguna, deja la hoja vacia.</t>
  </si>
  <si>
    <t xml:space="preserve">Nombre de la meta</t>
  </si>
  <si>
    <t xml:space="preserve">Cuanto necesitas (S/)</t>
  </si>
  <si>
    <t xml:space="preserve">Cuanto tienes ya (S/)</t>
  </si>
  <si>
    <t xml:space="preserve">Para cuando (AAAA-MM-DD)</t>
  </si>
  <si>
    <t xml:space="preserve">Viaje a Argentina</t>
  </si>
  <si>
    <t xml:space="preserve">2026-11-30</t>
  </si>
  <si>
    <t xml:space="preserve">Fondo de emergencia</t>
  </si>
  <si>
    <t xml:space="preserve">2027-12-31</t>
  </si>
  <si>
    <t xml:space="preserve">Viaje a Argentina: 2,500 para noviembre. El pasaje de 2,500 ya lo pagaste, asi que aqui va solo lo que falta.</t>
  </si>
  <si>
    <t xml:space="preserve">Fondo de emergencia: objetivo 5,175 = tres meses de lo que cuesta vivir (1,725 x 3). Los 9,500 son la Caja Huancayo que marcaste como Emergencia, asi que la app la va a mostrar cumplida: sirve como el piso que no quieres bajar.</t>
  </si>
  <si>
    <t xml:space="preserve">El Wardadito BCP de 1,200 queda como disponible, como pediste.</t>
  </si>
  <si>
    <t xml:space="preserve">El Wardadito BCP de 1,200 lo dejaste en la hoja 2, asi que la app lo va a contar como disponible. Si no quieres verlo asi, avisame y lo saco.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</si>
</sst>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%"/>
    <numFmt numFmtId="167" formatCode="0"/>
    <numFmt numFmtId="168" formatCode="#,##0.00;[RED]\-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45"/>
      <name val="Arial"/>
      <family val="0"/>
      <charset val="1"/>
    </font>
    <font>
      <sz val="10"/>
      <color rgb="FF5F6B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9AA0A6"/>
      <name val="Arial"/>
      <family val="0"/>
      <charset val="1"/>
    </font>
    <font>
      <b val="true"/>
      <sz val="11"/>
      <color rgb="FF1F4E4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45"/>
        <bgColor rgb="FF003366"/>
      </patternFill>
    </fill>
    <fill>
      <patternFill patternType="solid">
        <fgColor rgb="FFFFF9DB"/>
        <bgColor rgb="FFFFFFFF"/>
      </patternFill>
    </fill>
    <fill>
      <patternFill patternType="solid">
        <fgColor rgb="FFDCE7E3"/>
        <bgColor rgb="FFEEF1F0"/>
      </patternFill>
    </fill>
    <fill>
      <patternFill patternType="solid">
        <fgColor rgb="FFEEF1F0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1CD"/>
      </left>
      <right style="thin">
        <color rgb="FFC8D1CD"/>
      </right>
      <top style="thin">
        <color rgb="FFC8D1CD"/>
      </top>
      <bottom style="thin">
        <color rgb="FFC8D1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D1CD"/>
      <rgbColor rgb="FF808080"/>
      <rgbColor rgb="FF9999FF"/>
      <rgbColor rgb="FF993366"/>
      <rgbColor rgb="FFFFF9DB"/>
      <rgbColor rgb="FFEEF1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7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66"/>
      <rgbColor rgb="FF9AA0A6"/>
      <rgbColor rgb="FF003366"/>
      <rgbColor rgb="FF339966"/>
      <rgbColor rgb="FF003300"/>
      <rgbColor rgb="FF333300"/>
      <rgbColor rgb="FF993300"/>
      <rgbColor rgb="FF993366"/>
      <rgbColor rgb="FF333399"/>
      <rgbColor rgb="FF1F4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4"/>
  </cols>
  <sheetData>
    <row r="2" customFormat="false" ht="25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9" customFormat="false" ht="15" hidden="false" customHeight="true" outlineLevel="0" collapsed="false">
      <c r="B9" s="5" t="s">
        <v>6</v>
      </c>
    </row>
    <row r="10" customFormat="false" ht="15" hidden="false" customHeight="true" outlineLevel="0" collapsed="false">
      <c r="B10" s="5" t="s">
        <v>7</v>
      </c>
    </row>
    <row r="12" customFormat="false" ht="15" hidden="false" customHeight="true" outlineLevel="0" collapsed="false">
      <c r="B12" s="4" t="s">
        <v>8</v>
      </c>
    </row>
    <row r="13" customFormat="false" ht="15" hidden="false" customHeight="true" outlineLevel="0" collapsed="false">
      <c r="B13" s="5" t="s">
        <v>9</v>
      </c>
    </row>
    <row r="14" customFormat="false" ht="15" hidden="false" customHeight="true" outlineLevel="0" collapsed="false">
      <c r="B14" s="5" t="s">
        <v>10</v>
      </c>
    </row>
    <row r="16" customFormat="false" ht="15" hidden="false" customHeight="true" outlineLevel="0" collapsed="false">
      <c r="B16" s="4" t="s">
        <v>11</v>
      </c>
    </row>
    <row r="17" customFormat="false" ht="42" hidden="false" customHeight="true" outlineLevel="0" collapsed="false">
      <c r="B17" s="5" t="s">
        <v>12</v>
      </c>
    </row>
    <row r="19" customFormat="false" ht="15" hidden="false" customHeight="true" outlineLevel="0" collapsed="false">
      <c r="B19" s="4" t="s">
        <v>13</v>
      </c>
    </row>
    <row r="20" customFormat="false" ht="15" hidden="false" customHeight="true" outlineLevel="0" collapsed="false">
      <c r="B20" s="5" t="s">
        <v>14</v>
      </c>
    </row>
    <row r="21" customFormat="false" ht="15" hidden="false" customHeight="true" outlineLevel="0" collapsed="false">
      <c r="B21" s="5" t="s">
        <v>15</v>
      </c>
    </row>
    <row r="22" customFormat="false" ht="15" hidden="false" customHeight="true" outlineLevel="0" collapsed="false">
      <c r="B22" s="5" t="s">
        <v>16</v>
      </c>
    </row>
    <row r="23" customFormat="false" ht="15" hidden="false" customHeight="true" outlineLevel="0" collapsed="false">
      <c r="B23" s="5" t="s">
        <v>17</v>
      </c>
    </row>
    <row r="24" customFormat="false" ht="15" hidden="false" customHeight="true" outlineLevel="0" collapsed="false">
      <c r="B24" s="5" t="s">
        <v>18</v>
      </c>
    </row>
    <row r="25" customFormat="false" ht="15" hidden="false" customHeight="true" outlineLevel="0" collapsed="false">
      <c r="B25" s="5" t="s">
        <v>19</v>
      </c>
    </row>
    <row r="26" customFormat="false" ht="15" hidden="false" customHeight="true" outlineLevel="0" collapsed="false">
      <c r="B26" s="5" t="s">
        <v>20</v>
      </c>
    </row>
    <row r="27" customFormat="false" ht="15" hidden="false" customHeight="true" outlineLevel="0" collapsed="false">
      <c r="B27" s="5" t="s">
        <v>21</v>
      </c>
    </row>
    <row r="29" customFormat="false" ht="15" hidden="false" customHeight="true" outlineLevel="0" collapsed="false">
      <c r="B29" s="4" t="s">
        <v>22</v>
      </c>
    </row>
    <row r="30" customFormat="false" ht="30" hidden="false" customHeight="true" outlineLevel="0" collapsed="false">
      <c r="B30" s="5" t="s">
        <v>23</v>
      </c>
    </row>
    <row r="32" customFormat="false" ht="15" hidden="false" customHeight="true" outlineLevel="0" collapsed="false">
      <c r="B32" s="4" t="s">
        <v>24</v>
      </c>
    </row>
    <row r="33" customFormat="false" ht="42" hidden="false" customHeight="true" outlineLevel="0" collapsed="false">
      <c r="B33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B15" activeCellId="0" sqref="B15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62"/>
  </cols>
  <sheetData>
    <row r="1" customFormat="false" ht="21.75" hidden="false" customHeight="true" outlineLevel="0" collapsed="false">
      <c r="A1" s="6" t="s">
        <v>26</v>
      </c>
    </row>
    <row r="2" customFormat="false" ht="15" hidden="false" customHeight="true" outlineLevel="0" collapsed="false">
      <c r="A2" s="7" t="s">
        <v>27</v>
      </c>
    </row>
    <row r="4" customFormat="false" ht="30" hidden="false" customHeight="true" outlineLevel="0" collapsed="false">
      <c r="A4" s="8" t="s">
        <v>28</v>
      </c>
      <c r="B4" s="8" t="s">
        <v>29</v>
      </c>
      <c r="C4" s="8" t="s">
        <v>30</v>
      </c>
    </row>
    <row r="5" customFormat="false" ht="25.5" hidden="false" customHeight="true" outlineLevel="0" collapsed="false">
      <c r="A5" s="9" t="s">
        <v>31</v>
      </c>
      <c r="B5" s="10" t="s">
        <v>32</v>
      </c>
      <c r="C5" s="11" t="s">
        <v>33</v>
      </c>
    </row>
    <row r="6" customFormat="false" ht="25.5" hidden="false" customHeight="true" outlineLevel="0" collapsed="false">
      <c r="A6" s="9" t="s">
        <v>34</v>
      </c>
      <c r="B6" s="10" t="s">
        <v>35</v>
      </c>
      <c r="C6" s="11" t="s">
        <v>36</v>
      </c>
    </row>
    <row r="7" customFormat="false" ht="25.5" hidden="false" customHeight="true" outlineLevel="0" collapsed="false">
      <c r="A7" s="9" t="s">
        <v>37</v>
      </c>
      <c r="B7" s="12" t="n">
        <v>3500</v>
      </c>
      <c r="C7" s="11" t="s">
        <v>38</v>
      </c>
    </row>
    <row r="8" customFormat="false" ht="25.5" hidden="false" customHeight="true" outlineLevel="0" collapsed="false">
      <c r="A8" s="9" t="s">
        <v>39</v>
      </c>
      <c r="B8" s="13" t="n">
        <v>0.1</v>
      </c>
      <c r="C8" s="11" t="s">
        <v>40</v>
      </c>
    </row>
    <row r="9" customFormat="false" ht="25.5" hidden="false" customHeight="true" outlineLevel="0" collapsed="false">
      <c r="A9" s="9" t="s">
        <v>41</v>
      </c>
      <c r="B9" s="13" t="n">
        <v>0.0155</v>
      </c>
      <c r="C9" s="11" t="s">
        <v>42</v>
      </c>
    </row>
    <row r="10" customFormat="false" ht="25.5" hidden="false" customHeight="true" outlineLevel="0" collapsed="false">
      <c r="A10" s="9" t="s">
        <v>43</v>
      </c>
      <c r="B10" s="13" t="n">
        <v>0.0135</v>
      </c>
      <c r="C10" s="11" t="s">
        <v>44</v>
      </c>
    </row>
    <row r="11" customFormat="false" ht="25.5" hidden="false" customHeight="true" outlineLevel="0" collapsed="false">
      <c r="A11" s="9" t="s">
        <v>45</v>
      </c>
      <c r="B11" s="12" t="n">
        <v>78.56</v>
      </c>
      <c r="C11" s="11" t="s">
        <v>46</v>
      </c>
    </row>
    <row r="12" customFormat="false" ht="25.5" hidden="false" customHeight="true" outlineLevel="0" collapsed="false">
      <c r="A12" s="9" t="s">
        <v>47</v>
      </c>
      <c r="B12" s="12" t="n">
        <v>0</v>
      </c>
      <c r="C12" s="11" t="s">
        <v>48</v>
      </c>
    </row>
    <row r="13" customFormat="false" ht="25.5" hidden="false" customHeight="true" outlineLevel="0" collapsed="false">
      <c r="A13" s="9" t="s">
        <v>49</v>
      </c>
      <c r="B13" s="10" t="s">
        <v>50</v>
      </c>
      <c r="C13" s="11" t="s">
        <v>51</v>
      </c>
    </row>
    <row r="14" customFormat="false" ht="25.5" hidden="false" customHeight="true" outlineLevel="0" collapsed="false">
      <c r="A14" s="9" t="s">
        <v>52</v>
      </c>
      <c r="B14" s="12" t="n">
        <v>1484.97</v>
      </c>
      <c r="C14" s="11" t="s">
        <v>53</v>
      </c>
    </row>
    <row r="15" customFormat="false" ht="25.5" hidden="false" customHeight="true" outlineLevel="0" collapsed="false">
      <c r="A15" s="9" t="s">
        <v>54</v>
      </c>
      <c r="B15" s="12" t="n">
        <v>1484.97</v>
      </c>
      <c r="C15" s="11" t="s">
        <v>55</v>
      </c>
    </row>
    <row r="16" customFormat="false" ht="25.5" hidden="false" customHeight="true" outlineLevel="0" collapsed="false">
      <c r="A16" s="9" t="s">
        <v>56</v>
      </c>
      <c r="B16" s="10" t="s">
        <v>57</v>
      </c>
      <c r="C16" s="11" t="s">
        <v>58</v>
      </c>
    </row>
    <row r="18" customFormat="false" ht="15" hidden="false" customHeight="true" outlineLevel="0" collapsed="false">
      <c r="A18" s="14" t="s">
        <v>59</v>
      </c>
      <c r="B18" s="15" t="n">
        <f aca="false">IFERROR(B7-(B7*(B8+B9+B10)+B11),0)</f>
        <v>2969.94</v>
      </c>
      <c r="C18" s="16" t="s">
        <v>60</v>
      </c>
    </row>
    <row r="19" customFormat="false" ht="15" hidden="false" customHeight="true" outlineLevel="0" collapsed="false">
      <c r="A19" s="14" t="s">
        <v>61</v>
      </c>
      <c r="B19" s="15" t="n">
        <f aca="false">IFERROR(B18+B12,0)</f>
        <v>2969.94</v>
      </c>
      <c r="C19" s="16" t="s">
        <v>62</v>
      </c>
    </row>
    <row r="21" customFormat="false" ht="15" hidden="false" customHeight="true" outlineLevel="0" collapsed="false">
      <c r="A21" s="7" t="s">
        <v>63</v>
      </c>
    </row>
  </sheetData>
  <dataValidations count="1">
    <dataValidation allowBlank="true" errorStyle="stop" operator="between" showDropDown="false" showErrorMessage="false" showInputMessage="false" sqref="B13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11" activeCellId="0" sqref="C11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50"/>
  </cols>
  <sheetData>
    <row r="1" customFormat="false" ht="21.75" hidden="false" customHeight="true" outlineLevel="0" collapsed="false">
      <c r="A1" s="6" t="s">
        <v>64</v>
      </c>
    </row>
    <row r="2" customFormat="false" ht="15" hidden="false" customHeight="true" outlineLevel="0" collapsed="false">
      <c r="A2" s="7" t="s">
        <v>65</v>
      </c>
    </row>
    <row r="4" customFormat="false" ht="30" hidden="false" customHeight="true" outlineLevel="0" collapsed="false">
      <c r="A4" s="8" t="s">
        <v>66</v>
      </c>
      <c r="B4" s="8" t="s">
        <v>67</v>
      </c>
      <c r="C4" s="8" t="s">
        <v>68</v>
      </c>
    </row>
    <row r="5" customFormat="false" ht="15" hidden="false" customHeight="true" outlineLevel="0" collapsed="false">
      <c r="A5" s="10" t="s">
        <v>69</v>
      </c>
      <c r="B5" s="12" t="n">
        <v>350</v>
      </c>
      <c r="C5" s="10" t="s">
        <v>70</v>
      </c>
    </row>
    <row r="6" customFormat="false" ht="15" hidden="false" customHeight="true" outlineLevel="0" collapsed="false">
      <c r="A6" s="10" t="s">
        <v>71</v>
      </c>
      <c r="B6" s="12" t="n">
        <v>238.92</v>
      </c>
      <c r="C6" s="10" t="s">
        <v>72</v>
      </c>
    </row>
    <row r="7" customFormat="false" ht="15" hidden="false" customHeight="true" outlineLevel="0" collapsed="false">
      <c r="A7" s="10" t="s">
        <v>57</v>
      </c>
      <c r="B7" s="12" t="n">
        <v>108.71</v>
      </c>
      <c r="C7" s="10" t="s">
        <v>73</v>
      </c>
    </row>
    <row r="8" customFormat="false" ht="15" hidden="false" customHeight="true" outlineLevel="0" collapsed="false">
      <c r="A8" s="10" t="s">
        <v>74</v>
      </c>
      <c r="B8" s="12" t="n">
        <v>1200</v>
      </c>
      <c r="C8" s="10" t="s">
        <v>75</v>
      </c>
    </row>
    <row r="9" customFormat="false" ht="15" hidden="false" customHeight="true" outlineLevel="0" collapsed="false">
      <c r="A9" s="10" t="s">
        <v>76</v>
      </c>
      <c r="B9" s="12" t="n">
        <v>233.84</v>
      </c>
      <c r="C9" s="10" t="s">
        <v>72</v>
      </c>
    </row>
    <row r="10" customFormat="false" ht="15" hidden="false" customHeight="true" outlineLevel="0" collapsed="false">
      <c r="A10" s="10" t="s">
        <v>77</v>
      </c>
      <c r="B10" s="12" t="n">
        <v>9500</v>
      </c>
      <c r="C10" s="10" t="s">
        <v>70</v>
      </c>
    </row>
    <row r="11" customFormat="false" ht="15" hidden="false" customHeight="true" outlineLevel="0" collapsed="false">
      <c r="A11" s="10" t="s">
        <v>78</v>
      </c>
      <c r="B11" s="12" t="n">
        <v>20</v>
      </c>
      <c r="C11" s="10" t="s">
        <v>72</v>
      </c>
    </row>
    <row r="12" customFormat="false" ht="15" hidden="false" customHeight="true" outlineLevel="0" collapsed="false">
      <c r="A12" s="10"/>
      <c r="B12" s="12"/>
      <c r="C12" s="10"/>
    </row>
    <row r="13" customFormat="false" ht="15" hidden="false" customHeight="true" outlineLevel="0" collapsed="false">
      <c r="A13" s="10"/>
      <c r="B13" s="12"/>
      <c r="C13" s="10"/>
    </row>
    <row r="14" customFormat="false" ht="15" hidden="false" customHeight="true" outlineLevel="0" collapsed="false">
      <c r="A14" s="10"/>
      <c r="B14" s="12"/>
      <c r="C14" s="10"/>
    </row>
    <row r="15" customFormat="false" ht="15" hidden="false" customHeight="true" outlineLevel="0" collapsed="false">
      <c r="A15" s="10"/>
      <c r="B15" s="12"/>
      <c r="C15" s="10"/>
    </row>
    <row r="16" customFormat="false" ht="15" hidden="false" customHeight="true" outlineLevel="0" collapsed="false">
      <c r="A16" s="10"/>
      <c r="B16" s="12"/>
      <c r="C16" s="10"/>
    </row>
    <row r="17" customFormat="false" ht="15" hidden="false" customHeight="true" outlineLevel="0" collapsed="false">
      <c r="A17" s="10"/>
      <c r="B17" s="12"/>
      <c r="C17" s="10"/>
    </row>
    <row r="18" customFormat="false" ht="15" hidden="false" customHeight="true" outlineLevel="0" collapsed="false">
      <c r="A18" s="10"/>
      <c r="B18" s="12"/>
      <c r="C18" s="10"/>
    </row>
    <row r="19" customFormat="false" ht="15" hidden="false" customHeight="true" outlineLevel="0" collapsed="false">
      <c r="A19" s="10"/>
      <c r="B19" s="12"/>
      <c r="C19" s="10"/>
    </row>
    <row r="20" customFormat="false" ht="15" hidden="false" customHeight="true" outlineLevel="0" collapsed="false">
      <c r="A20" s="10"/>
      <c r="B20" s="12"/>
      <c r="C20" s="10"/>
    </row>
    <row r="21" customFormat="false" ht="15" hidden="false" customHeight="true" outlineLevel="0" collapsed="false">
      <c r="A21" s="10"/>
      <c r="B21" s="12"/>
      <c r="C21" s="10"/>
    </row>
    <row r="22" customFormat="false" ht="15" hidden="false" customHeight="true" outlineLevel="0" collapsed="false">
      <c r="A22" s="10"/>
      <c r="B22" s="12"/>
      <c r="C22" s="10"/>
    </row>
    <row r="23" customFormat="false" ht="15" hidden="false" customHeight="true" outlineLevel="0" collapsed="false">
      <c r="A23" s="10"/>
      <c r="B23" s="12"/>
      <c r="C23" s="10"/>
    </row>
    <row r="24" customFormat="false" ht="15" hidden="false" customHeight="true" outlineLevel="0" collapsed="false">
      <c r="A24" s="10"/>
      <c r="B24" s="12"/>
      <c r="C24" s="10"/>
    </row>
    <row r="25" customFormat="false" ht="15" hidden="false" customHeight="true" outlineLevel="0" collapsed="false">
      <c r="A25" s="10"/>
      <c r="B25" s="12"/>
      <c r="C25" s="10"/>
    </row>
    <row r="26" customFormat="false" ht="15" hidden="false" customHeight="true" outlineLevel="0" collapsed="false">
      <c r="A26" s="10"/>
      <c r="B26" s="12"/>
      <c r="C26" s="10"/>
    </row>
    <row r="27" customFormat="false" ht="15" hidden="false" customHeight="true" outlineLevel="0" collapsed="false">
      <c r="A27" s="10"/>
      <c r="B27" s="12"/>
      <c r="C27" s="10"/>
    </row>
    <row r="28" customFormat="false" ht="15" hidden="false" customHeight="true" outlineLevel="0" collapsed="false">
      <c r="A28" s="14" t="s">
        <v>79</v>
      </c>
      <c r="B28" s="15" t="n">
        <f aca="false">SUM(B5:B27)</f>
        <v>11651.47</v>
      </c>
      <c r="C28" s="17"/>
    </row>
    <row r="30" customFormat="false" ht="15" hidden="false" customHeight="true" outlineLevel="0" collapsed="false">
      <c r="A30" s="7" t="s">
        <v>80</v>
      </c>
    </row>
    <row r="31" customFormat="false" ht="15" hidden="false" customHeight="true" outlineLevel="0" collapsed="false">
      <c r="A31" s="7" t="s">
        <v>81</v>
      </c>
    </row>
    <row r="32" customFormat="false" ht="15" hidden="false" customHeight="true" outlineLevel="0" collapsed="false">
      <c r="A32" s="7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25" activeCellId="0" sqref="E25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18"/>
  </cols>
  <sheetData>
    <row r="1" customFormat="false" ht="21.75" hidden="false" customHeight="true" outlineLevel="0" collapsed="false">
      <c r="A1" s="6" t="s">
        <v>83</v>
      </c>
    </row>
    <row r="2" customFormat="false" ht="15" hidden="false" customHeight="true" outlineLevel="0" collapsed="false">
      <c r="A2" s="7" t="s">
        <v>84</v>
      </c>
    </row>
    <row r="4" customFormat="false" ht="30" hidden="false" customHeight="true" outlineLevel="0" collapsed="false">
      <c r="A4" s="8" t="s">
        <v>85</v>
      </c>
      <c r="B4" s="8" t="s">
        <v>86</v>
      </c>
      <c r="C4" s="8" t="s">
        <v>87</v>
      </c>
      <c r="D4" s="8" t="s">
        <v>88</v>
      </c>
      <c r="E4" s="8" t="s">
        <v>89</v>
      </c>
      <c r="F4" s="8" t="s">
        <v>90</v>
      </c>
    </row>
    <row r="5" customFormat="false" ht="15" hidden="false" customHeight="true" outlineLevel="0" collapsed="false">
      <c r="A5" s="10" t="s">
        <v>91</v>
      </c>
      <c r="B5" s="12" t="n">
        <v>10700</v>
      </c>
      <c r="C5" s="18" t="n">
        <v>20</v>
      </c>
      <c r="D5" s="18" t="n">
        <v>25</v>
      </c>
      <c r="E5" s="12"/>
      <c r="F5" s="10" t="n">
        <v>1973</v>
      </c>
    </row>
    <row r="6" customFormat="false" ht="15" hidden="false" customHeight="true" outlineLevel="0" collapsed="false">
      <c r="A6" s="10" t="s">
        <v>92</v>
      </c>
      <c r="B6" s="12" t="n">
        <v>3750</v>
      </c>
      <c r="C6" s="18" t="n">
        <v>20</v>
      </c>
      <c r="D6" s="18" t="n">
        <v>31</v>
      </c>
      <c r="E6" s="12"/>
      <c r="F6" s="10" t="n">
        <v>141</v>
      </c>
    </row>
    <row r="7" customFormat="false" ht="15" hidden="false" customHeight="true" outlineLevel="0" collapsed="false">
      <c r="A7" s="10"/>
      <c r="B7" s="12"/>
      <c r="C7" s="18"/>
      <c r="D7" s="18"/>
      <c r="E7" s="12"/>
      <c r="F7" s="10"/>
    </row>
    <row r="8" customFormat="false" ht="15" hidden="false" customHeight="true" outlineLevel="0" collapsed="false">
      <c r="A8" s="10"/>
      <c r="B8" s="12"/>
      <c r="C8" s="18"/>
      <c r="D8" s="18"/>
      <c r="E8" s="12"/>
      <c r="F8" s="10"/>
    </row>
    <row r="9" customFormat="false" ht="15" hidden="false" customHeight="true" outlineLevel="0" collapsed="false">
      <c r="A9" s="10"/>
      <c r="B9" s="12"/>
      <c r="C9" s="18"/>
      <c r="D9" s="18"/>
      <c r="E9" s="12"/>
      <c r="F9" s="10"/>
    </row>
    <row r="10" customFormat="false" ht="15" hidden="false" customHeight="true" outlineLevel="0" collapsed="false">
      <c r="A10" s="10"/>
      <c r="B10" s="12"/>
      <c r="C10" s="18"/>
      <c r="D10" s="18"/>
      <c r="E10" s="12"/>
      <c r="F10" s="10"/>
    </row>
    <row r="11" customFormat="false" ht="15" hidden="false" customHeight="true" outlineLevel="0" collapsed="false">
      <c r="A11" s="10"/>
      <c r="B11" s="12"/>
      <c r="C11" s="18"/>
      <c r="D11" s="18"/>
      <c r="E11" s="12"/>
      <c r="F11" s="10"/>
    </row>
    <row r="12" customFormat="false" ht="15" hidden="false" customHeight="true" outlineLevel="0" collapsed="false">
      <c r="A12" s="10"/>
      <c r="B12" s="12"/>
      <c r="C12" s="18"/>
      <c r="D12" s="18"/>
      <c r="E12" s="12"/>
      <c r="F12" s="10"/>
    </row>
    <row r="13" customFormat="false" ht="15" hidden="false" customHeight="true" outlineLevel="0" collapsed="false">
      <c r="A13" s="10"/>
      <c r="B13" s="12"/>
      <c r="C13" s="18"/>
      <c r="D13" s="18"/>
      <c r="E13" s="12"/>
      <c r="F13" s="10"/>
    </row>
    <row r="14" customFormat="false" ht="15" hidden="false" customHeight="true" outlineLevel="0" collapsed="false">
      <c r="A14" s="10"/>
      <c r="B14" s="12"/>
      <c r="C14" s="18"/>
      <c r="D14" s="18"/>
      <c r="E14" s="12"/>
      <c r="F14" s="10"/>
    </row>
    <row r="17" customFormat="false" ht="15" hidden="false" customHeight="true" outlineLevel="0" collapsed="false">
      <c r="A17" s="7" t="s">
        <v>93</v>
      </c>
    </row>
    <row r="18" customFormat="false" ht="15" hidden="false" customHeight="true" outlineLevel="0" collapsed="false">
      <c r="A18" s="7" t="s">
        <v>94</v>
      </c>
    </row>
    <row r="19" customFormat="false" ht="15" hidden="false" customHeight="true" outlineLevel="0" collapsed="false">
      <c r="A19" s="7" t="s">
        <v>95</v>
      </c>
    </row>
    <row r="20" customFormat="false" ht="15" hidden="false" customHeight="true" outlineLevel="0" collapsed="false">
      <c r="A20" s="7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12" activeCellId="0" sqref="D12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17"/>
    <col collapsed="false" customWidth="true" hidden="false" outlineLevel="0" max="4" min="4" style="1" width="15"/>
    <col collapsed="false" customWidth="true" hidden="false" outlineLevel="0" max="5" min="5" style="1" width="11"/>
    <col collapsed="false" customWidth="true" hidden="false" outlineLevel="0" max="6" min="6" style="1" width="17"/>
    <col collapsed="false" customWidth="true" hidden="false" outlineLevel="0" max="7" min="7" style="1" width="10"/>
    <col collapsed="false" customWidth="true" hidden="false" outlineLevel="0" max="8" min="8" style="1" width="18"/>
  </cols>
  <sheetData>
    <row r="1" customFormat="false" ht="21.75" hidden="false" customHeight="true" outlineLevel="0" collapsed="false">
      <c r="A1" s="6" t="s">
        <v>97</v>
      </c>
    </row>
    <row r="2" customFormat="false" ht="15" hidden="false" customHeight="true" outlineLevel="0" collapsed="false">
      <c r="A2" s="7" t="s">
        <v>98</v>
      </c>
    </row>
    <row r="4" customFormat="false" ht="30" hidden="false" customHeight="true" outlineLevel="0" collapsed="false">
      <c r="A4" s="8" t="s">
        <v>99</v>
      </c>
      <c r="B4" s="8" t="s">
        <v>100</v>
      </c>
      <c r="C4" s="8" t="s">
        <v>101</v>
      </c>
      <c r="D4" s="8" t="s">
        <v>102</v>
      </c>
      <c r="E4" s="8" t="s">
        <v>103</v>
      </c>
      <c r="F4" s="8" t="s">
        <v>104</v>
      </c>
      <c r="G4" s="8" t="s">
        <v>105</v>
      </c>
      <c r="H4" s="8" t="s">
        <v>106</v>
      </c>
    </row>
    <row r="5" customFormat="false" ht="15" hidden="false" customHeight="true" outlineLevel="0" collapsed="false">
      <c r="A5" s="19" t="s">
        <v>91</v>
      </c>
      <c r="B5" s="19" t="s">
        <v>107</v>
      </c>
      <c r="C5" s="20" t="n">
        <v>2750</v>
      </c>
      <c r="D5" s="21" t="n">
        <v>1</v>
      </c>
      <c r="E5" s="22" t="n">
        <v>0</v>
      </c>
      <c r="F5" s="21" t="n">
        <v>10</v>
      </c>
      <c r="G5" s="21" t="n">
        <v>2026</v>
      </c>
      <c r="H5" s="23" t="n">
        <f aca="false">IFERROR(IF(OR($C5="",$D5="",$D5=0),"",IF(N($E5)&gt;0,$C5*((1+$E5)^(1/12)-1)/(1-(1+((1+$E5)^(1/12)-1))^(-$D5)),$C5/$D5)),"")</f>
        <v>2750</v>
      </c>
    </row>
    <row r="6" customFormat="false" ht="15" hidden="false" customHeight="true" outlineLevel="0" collapsed="false">
      <c r="A6" s="19" t="s">
        <v>91</v>
      </c>
      <c r="B6" s="19" t="s">
        <v>108</v>
      </c>
      <c r="C6" s="20" t="n">
        <v>4650</v>
      </c>
      <c r="D6" s="20" t="n">
        <v>3</v>
      </c>
      <c r="E6" s="22" t="n">
        <v>0</v>
      </c>
      <c r="F6" s="21" t="n">
        <v>10</v>
      </c>
      <c r="G6" s="21" t="n">
        <v>2026</v>
      </c>
      <c r="H6" s="23" t="n">
        <f aca="false">IFERROR(IF(OR($C6="",$D6="",$D6=0),"",IF(N($E6)&gt;0,$C6*((1+$E6)^(1/12)-1)/(1-(1+((1+$E6)^(1/12)-1))^(-$D6)),$C6/$D6)),"")</f>
        <v>1550</v>
      </c>
    </row>
    <row r="7" customFormat="false" ht="15" hidden="false" customHeight="true" outlineLevel="0" collapsed="false">
      <c r="A7" s="19" t="s">
        <v>92</v>
      </c>
      <c r="B7" s="19" t="s">
        <v>107</v>
      </c>
      <c r="C7" s="20" t="n">
        <v>413</v>
      </c>
      <c r="D7" s="20" t="n">
        <v>1</v>
      </c>
      <c r="E7" s="22" t="n">
        <v>0</v>
      </c>
      <c r="F7" s="21" t="n">
        <v>10</v>
      </c>
      <c r="G7" s="21" t="n">
        <v>2026</v>
      </c>
      <c r="H7" s="23" t="n">
        <f aca="false">IFERROR(IF(OR($C7="",$D7="",$D7=0),"",IF(N($E7)&gt;0,$C7*((1+$E7)^(1/12)-1)/(1-(1+((1+$E7)^(1/12)-1))^(-$D7)),$C7/$D7)),"")</f>
        <v>413</v>
      </c>
    </row>
    <row r="8" customFormat="false" ht="15" hidden="false" customHeight="true" outlineLevel="0" collapsed="false">
      <c r="A8" s="19" t="s">
        <v>92</v>
      </c>
      <c r="B8" s="19" t="s">
        <v>108</v>
      </c>
      <c r="C8" s="20" t="n">
        <v>2000</v>
      </c>
      <c r="D8" s="20" t="n">
        <v>2</v>
      </c>
      <c r="E8" s="22" t="n">
        <v>0</v>
      </c>
      <c r="F8" s="21" t="n">
        <v>10</v>
      </c>
      <c r="G8" s="21" t="n">
        <v>2026</v>
      </c>
      <c r="H8" s="23" t="n">
        <f aca="false">IFERROR(IF(OR($C8="",$D8="",$D8=0),"",IF(N($E8)&gt;0,$C8*((1+$E8)^(1/12)-1)/(1-(1+((1+$E8)^(1/12)-1))^(-$D8)),$C8/$D8)),"")</f>
        <v>1000</v>
      </c>
    </row>
    <row r="9" customFormat="false" ht="15" hidden="false" customHeight="true" outlineLevel="0" collapsed="false">
      <c r="A9" s="19"/>
      <c r="B9" s="19"/>
      <c r="C9" s="12"/>
      <c r="D9" s="18"/>
      <c r="E9" s="22"/>
      <c r="F9" s="21"/>
      <c r="G9" s="21"/>
      <c r="H9" s="23" t="str">
        <f aca="false">IFERROR(IF(OR($C9="",$D9="",$D9=0),"",IF(N($E9)&gt;0,$C9*((1+$E9)^(1/12)-1)/(1-(1+((1+$E9)^(1/12)-1))^(-$D9)),$C9/$D9)),"")</f>
        <v/>
      </c>
    </row>
    <row r="10" customFormat="false" ht="15" hidden="false" customHeight="true" outlineLevel="0" collapsed="false">
      <c r="A10" s="19"/>
      <c r="B10" s="19"/>
      <c r="C10" s="12"/>
      <c r="D10" s="18"/>
      <c r="E10" s="22"/>
      <c r="F10" s="21"/>
      <c r="G10" s="21"/>
      <c r="H10" s="23" t="str">
        <f aca="false">IFERROR(IF(OR($C10="",$D10="",$D10=0),"",IF(N($E10)&gt;0,$C10*((1+$E10)^(1/12)-1)/(1-(1+((1+$E10)^(1/12)-1))^(-$D10)),$C10/$D10)),"")</f>
        <v/>
      </c>
    </row>
    <row r="11" customFormat="false" ht="15" hidden="false" customHeight="true" outlineLevel="0" collapsed="false">
      <c r="A11" s="19"/>
      <c r="B11" s="19"/>
      <c r="C11" s="12"/>
      <c r="D11" s="18"/>
      <c r="E11" s="22"/>
      <c r="F11" s="21"/>
      <c r="G11" s="21"/>
      <c r="H11" s="23" t="str">
        <f aca="false">IFERROR(IF(OR($C11="",$D11="",$D11=0),"",IF(N($E11)&gt;0,$C11*((1+$E11)^(1/12)-1)/(1-(1+((1+$E11)^(1/12)-1))^(-$D11)),$C11/$D11)),"")</f>
        <v/>
      </c>
    </row>
    <row r="12" customFormat="false" ht="15" hidden="false" customHeight="true" outlineLevel="0" collapsed="false">
      <c r="A12" s="19"/>
      <c r="B12" s="19"/>
      <c r="C12" s="12"/>
      <c r="D12" s="18"/>
      <c r="E12" s="22"/>
      <c r="F12" s="21"/>
      <c r="G12" s="21"/>
      <c r="H12" s="23" t="str">
        <f aca="false">IFERROR(IF(OR($C12="",$D12="",$D12=0),"",IF(N($E12)&gt;0,$C12*((1+$E12)^(1/12)-1)/(1-(1+((1+$E12)^(1/12)-1))^(-$D12)),$C12/$D12)),"")</f>
        <v/>
      </c>
    </row>
    <row r="13" customFormat="false" ht="15" hidden="false" customHeight="true" outlineLevel="0" collapsed="false">
      <c r="A13" s="19"/>
      <c r="B13" s="19"/>
      <c r="C13" s="12"/>
      <c r="D13" s="18"/>
      <c r="E13" s="22"/>
      <c r="F13" s="21"/>
      <c r="G13" s="21"/>
      <c r="H13" s="23" t="str">
        <f aca="false">IFERROR(IF(OR($C13="",$D13="",$D13=0),"",IF(N($E13)&gt;0,$C13*((1+$E13)^(1/12)-1)/(1-(1+((1+$E13)^(1/12)-1))^(-$D13)),$C13/$D13)),"")</f>
        <v/>
      </c>
    </row>
    <row r="14" customFormat="false" ht="15" hidden="false" customHeight="true" outlineLevel="0" collapsed="false">
      <c r="A14" s="19"/>
      <c r="B14" s="19"/>
      <c r="C14" s="12"/>
      <c r="D14" s="18"/>
      <c r="E14" s="22"/>
      <c r="F14" s="21"/>
      <c r="G14" s="21"/>
      <c r="H14" s="23" t="str">
        <f aca="false">IFERROR(IF(OR($C14="",$D14="",$D14=0),"",IF(N($E14)&gt;0,$C14*((1+$E14)^(1/12)-1)/(1-(1+((1+$E14)^(1/12)-1))^(-$D14)),$C14/$D14)),"")</f>
        <v/>
      </c>
    </row>
    <row r="15" customFormat="false" ht="15" hidden="false" customHeight="true" outlineLevel="0" collapsed="false">
      <c r="A15" s="19"/>
      <c r="B15" s="19"/>
      <c r="C15" s="12"/>
      <c r="D15" s="18"/>
      <c r="E15" s="22"/>
      <c r="F15" s="21"/>
      <c r="G15" s="21"/>
      <c r="H15" s="23" t="str">
        <f aca="false">IFERROR(IF(OR($C15="",$D15="",$D15=0),"",IF(N($E15)&gt;0,$C15*((1+$E15)^(1/12)-1)/(1-(1+((1+$E15)^(1/12)-1))^(-$D15)),$C15/$D15)),"")</f>
        <v/>
      </c>
    </row>
    <row r="16" customFormat="false" ht="15" hidden="false" customHeight="true" outlineLevel="0" collapsed="false">
      <c r="A16" s="19"/>
      <c r="B16" s="19"/>
      <c r="C16" s="12"/>
      <c r="D16" s="18"/>
      <c r="E16" s="22"/>
      <c r="F16" s="21"/>
      <c r="G16" s="21"/>
      <c r="H16" s="23" t="str">
        <f aca="false">IFERROR(IF(OR($C16="",$D16="",$D16=0),"",IF(N($E16)&gt;0,$C16*((1+$E16)^(1/12)-1)/(1-(1+((1+$E16)^(1/12)-1))^(-$D16)),$C16/$D16)),"")</f>
        <v/>
      </c>
    </row>
    <row r="17" customFormat="false" ht="15" hidden="false" customHeight="true" outlineLevel="0" collapsed="false">
      <c r="A17" s="19"/>
      <c r="B17" s="19"/>
      <c r="C17" s="12"/>
      <c r="D17" s="18"/>
      <c r="E17" s="22"/>
      <c r="F17" s="21"/>
      <c r="G17" s="21"/>
      <c r="H17" s="23" t="str">
        <f aca="false">IFERROR(IF(OR($C17="",$D17="",$D17=0),"",IF(N($E17)&gt;0,$C17*((1+$E17)^(1/12)-1)/(1-(1+((1+$E17)^(1/12)-1))^(-$D17)),$C17/$D17)),"")</f>
        <v/>
      </c>
    </row>
    <row r="18" customFormat="false" ht="15" hidden="false" customHeight="true" outlineLevel="0" collapsed="false">
      <c r="A18" s="19"/>
      <c r="B18" s="19"/>
      <c r="C18" s="12"/>
      <c r="D18" s="18"/>
      <c r="E18" s="22"/>
      <c r="F18" s="21"/>
      <c r="G18" s="21"/>
      <c r="H18" s="23" t="str">
        <f aca="false">IFERROR(IF(OR($C18="",$D18="",$D18=0),"",IF(N($E18)&gt;0,$C18*((1+$E18)^(1/12)-1)/(1-(1+((1+$E18)^(1/12)-1))^(-$D18)),$C18/$D18)),"")</f>
        <v/>
      </c>
    </row>
    <row r="19" customFormat="false" ht="15" hidden="false" customHeight="true" outlineLevel="0" collapsed="false">
      <c r="A19" s="19"/>
      <c r="B19" s="19"/>
      <c r="C19" s="12"/>
      <c r="D19" s="18"/>
      <c r="E19" s="22"/>
      <c r="F19" s="21"/>
      <c r="G19" s="21"/>
      <c r="H19" s="23" t="str">
        <f aca="false">IFERROR(IF(OR($C19="",$D19="",$D19=0),"",IF(N($E19)&gt;0,$C19*((1+$E19)^(1/12)-1)/(1-(1+((1+$E19)^(1/12)-1))^(-$D19)),$C19/$D19)),"")</f>
        <v/>
      </c>
    </row>
    <row r="20" customFormat="false" ht="15" hidden="false" customHeight="true" outlineLevel="0" collapsed="false">
      <c r="A20" s="19"/>
      <c r="B20" s="19"/>
      <c r="C20" s="12"/>
      <c r="D20" s="18"/>
      <c r="E20" s="22"/>
      <c r="F20" s="21"/>
      <c r="G20" s="21"/>
      <c r="H20" s="23" t="str">
        <f aca="false">IFERROR(IF(OR($C20="",$D20="",$D20=0),"",IF(N($E20)&gt;0,$C20*((1+$E20)^(1/12)-1)/(1-(1+((1+$E20)^(1/12)-1))^(-$D20)),$C20/$D20)),"")</f>
        <v/>
      </c>
    </row>
    <row r="21" customFormat="false" ht="15" hidden="false" customHeight="true" outlineLevel="0" collapsed="false">
      <c r="A21" s="19"/>
      <c r="B21" s="19"/>
      <c r="C21" s="12"/>
      <c r="D21" s="18"/>
      <c r="E21" s="22"/>
      <c r="F21" s="21"/>
      <c r="G21" s="21"/>
      <c r="H21" s="23" t="str">
        <f aca="false">IFERROR(IF(OR($C21="",$D21="",$D21=0),"",IF(N($E21)&gt;0,$C21*((1+$E21)^(1/12)-1)/(1-(1+((1+$E21)^(1/12)-1))^(-$D21)),$C21/$D21)),"")</f>
        <v/>
      </c>
    </row>
    <row r="22" customFormat="false" ht="15" hidden="false" customHeight="true" outlineLevel="0" collapsed="false">
      <c r="A22" s="19"/>
      <c r="B22" s="19"/>
      <c r="C22" s="12"/>
      <c r="D22" s="18"/>
      <c r="E22" s="22"/>
      <c r="F22" s="21"/>
      <c r="G22" s="21"/>
      <c r="H22" s="23" t="str">
        <f aca="false">IFERROR(IF(OR($C22="",$D22="",$D22=0),"",IF(N($E22)&gt;0,$C22*((1+$E22)^(1/12)-1)/(1-(1+((1+$E22)^(1/12)-1))^(-$D22)),$C22/$D22)),"")</f>
        <v/>
      </c>
    </row>
    <row r="23" customFormat="false" ht="15" hidden="false" customHeight="true" outlineLevel="0" collapsed="false">
      <c r="A23" s="10"/>
      <c r="B23" s="10"/>
      <c r="C23" s="12"/>
      <c r="D23" s="18"/>
      <c r="E23" s="13"/>
      <c r="F23" s="18"/>
      <c r="G23" s="18"/>
      <c r="H23" s="23" t="str">
        <f aca="false">IFERROR(IF(OR($C23="",$D23="",$D23=0),"",IF(N($E23)&gt;0,$C23*((1+$E23)^(1/12)-1)/(1-(1+((1+$E23)^(1/12)-1))^(-$D23)),$C23/$D23)),"")</f>
        <v/>
      </c>
    </row>
    <row r="24" customFormat="false" ht="15" hidden="false" customHeight="true" outlineLevel="0" collapsed="false">
      <c r="A24" s="10"/>
      <c r="B24" s="10"/>
      <c r="C24" s="12"/>
      <c r="D24" s="18"/>
      <c r="E24" s="13"/>
      <c r="F24" s="18"/>
      <c r="G24" s="18"/>
      <c r="H24" s="23" t="str">
        <f aca="false">IFERROR(IF(OR($C24="",$D24="",$D24=0),"",IF(N($E24)&gt;0,$C24*((1+$E24)^(1/12)-1)/(1-(1+((1+$E24)^(1/12)-1))^(-$D24)),$C24/$D24)),"")</f>
        <v/>
      </c>
    </row>
    <row r="25" customFormat="false" ht="15" hidden="false" customHeight="true" outlineLevel="0" collapsed="false">
      <c r="A25" s="10"/>
      <c r="B25" s="10"/>
      <c r="C25" s="12"/>
      <c r="D25" s="18"/>
      <c r="E25" s="13"/>
      <c r="F25" s="18"/>
      <c r="G25" s="18"/>
      <c r="H25" s="23" t="str">
        <f aca="false">IFERROR(IF(OR($C25="",$D25="",$D25=0),"",IF(N($E25)&gt;0,$C25*((1+$E25)^(1/12)-1)/(1-(1+((1+$E25)^(1/12)-1))^(-$D25)),$C25/$D25)),"")</f>
        <v/>
      </c>
    </row>
    <row r="26" customFormat="false" ht="15" hidden="false" customHeight="true" outlineLevel="0" collapsed="false">
      <c r="A26" s="10"/>
      <c r="B26" s="10"/>
      <c r="C26" s="12"/>
      <c r="D26" s="18"/>
      <c r="E26" s="13"/>
      <c r="F26" s="18"/>
      <c r="G26" s="18"/>
      <c r="H26" s="23" t="str">
        <f aca="false">IFERROR(IF(OR($C26="",$D26="",$D26=0),"",IF(N($E26)&gt;0,$C26*((1+$E26)^(1/12)-1)/(1-(1+((1+$E26)^(1/12)-1))^(-$D26)),$C26/$D26)),"")</f>
        <v/>
      </c>
    </row>
    <row r="27" customFormat="false" ht="15" hidden="false" customHeight="true" outlineLevel="0" collapsed="false">
      <c r="A27" s="14" t="s">
        <v>109</v>
      </c>
      <c r="B27" s="17"/>
      <c r="C27" s="15" t="n">
        <f aca="false">SUM(C5:C26)</f>
        <v>9813</v>
      </c>
      <c r="D27" s="17"/>
      <c r="E27" s="17"/>
      <c r="F27" s="17"/>
      <c r="G27" s="17"/>
      <c r="H27" s="15" t="n">
        <f aca="false">SUM(H5:H26)</f>
        <v>5713</v>
      </c>
    </row>
    <row r="29" customFormat="false" ht="15" hidden="false" customHeight="true" outlineLevel="0" collapsed="false">
      <c r="A29" s="7" t="s">
        <v>110</v>
      </c>
    </row>
    <row r="30" customFormat="false" ht="15" hidden="false" customHeight="true" outlineLevel="0" collapsed="false">
      <c r="A30" s="7" t="s">
        <v>111</v>
      </c>
    </row>
    <row r="31" customFormat="false" ht="15" hidden="false" customHeight="true" outlineLevel="0" collapsed="false">
      <c r="A31" s="7" t="s">
        <v>112</v>
      </c>
    </row>
    <row r="32" customFormat="false" ht="15" hidden="false" customHeight="true" outlineLevel="0" collapsed="false">
      <c r="A32" s="7" t="s">
        <v>113</v>
      </c>
    </row>
    <row r="33" customFormat="false" ht="15" hidden="false" customHeight="true" outlineLevel="0" collapsed="false">
      <c r="A33" s="7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14" activeCellId="0" sqref="C14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9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6" min="6" style="1" width="17"/>
    <col collapsed="false" customWidth="true" hidden="false" outlineLevel="0" max="7" min="7" style="1" width="10"/>
  </cols>
  <sheetData>
    <row r="1" customFormat="false" ht="21.75" hidden="false" customHeight="true" outlineLevel="0" collapsed="false">
      <c r="A1" s="6" t="s">
        <v>115</v>
      </c>
    </row>
    <row r="2" customFormat="false" ht="15" hidden="false" customHeight="true" outlineLevel="0" collapsed="false">
      <c r="A2" s="7" t="s">
        <v>116</v>
      </c>
    </row>
    <row r="4" customFormat="false" ht="30" hidden="false" customHeight="true" outlineLevel="0" collapsed="false">
      <c r="A4" s="8" t="s">
        <v>117</v>
      </c>
      <c r="B4" s="8" t="s">
        <v>118</v>
      </c>
      <c r="C4" s="8" t="s">
        <v>119</v>
      </c>
      <c r="D4" s="8" t="s">
        <v>102</v>
      </c>
      <c r="E4" s="8" t="s">
        <v>87</v>
      </c>
      <c r="F4" s="8" t="s">
        <v>104</v>
      </c>
      <c r="G4" s="8" t="s">
        <v>105</v>
      </c>
    </row>
    <row r="5" customFormat="false" ht="15" hidden="false" customHeight="true" outlineLevel="0" collapsed="false">
      <c r="A5" s="19" t="s">
        <v>120</v>
      </c>
      <c r="B5" s="20" t="n">
        <v>20000</v>
      </c>
      <c r="C5" s="20" t="n">
        <v>1200</v>
      </c>
      <c r="D5" s="21" t="n">
        <v>17</v>
      </c>
      <c r="E5" s="21" t="n">
        <v>15</v>
      </c>
      <c r="F5" s="21" t="n">
        <v>10</v>
      </c>
      <c r="G5" s="21" t="n">
        <v>2026</v>
      </c>
    </row>
    <row r="6" customFormat="false" ht="15" hidden="false" customHeight="true" outlineLevel="0" collapsed="false">
      <c r="A6" s="19" t="s">
        <v>121</v>
      </c>
      <c r="B6" s="20" t="n">
        <v>11500</v>
      </c>
      <c r="C6" s="20" t="n">
        <v>447.95</v>
      </c>
      <c r="D6" s="21" t="n">
        <v>59</v>
      </c>
      <c r="E6" s="21" t="n">
        <v>1</v>
      </c>
      <c r="F6" s="21" t="n">
        <v>10</v>
      </c>
      <c r="G6" s="21" t="n">
        <v>2026</v>
      </c>
    </row>
    <row r="7" customFormat="false" ht="15" hidden="false" customHeight="true" outlineLevel="0" collapsed="false">
      <c r="A7" s="19" t="s">
        <v>121</v>
      </c>
      <c r="B7" s="20" t="n">
        <v>14500</v>
      </c>
      <c r="C7" s="20" t="n">
        <v>534</v>
      </c>
      <c r="D7" s="21" t="n">
        <v>58</v>
      </c>
      <c r="E7" s="21" t="n">
        <v>15</v>
      </c>
      <c r="F7" s="21" t="n">
        <v>10</v>
      </c>
      <c r="G7" s="21" t="n">
        <v>2026</v>
      </c>
    </row>
    <row r="8" customFormat="false" ht="15" hidden="false" customHeight="true" outlineLevel="0" collapsed="false">
      <c r="A8" s="19" t="s">
        <v>121</v>
      </c>
      <c r="B8" s="20" t="n">
        <v>2684.56</v>
      </c>
      <c r="C8" s="20" t="n">
        <v>266.42</v>
      </c>
      <c r="D8" s="21" t="n">
        <v>12</v>
      </c>
      <c r="E8" s="21" t="n">
        <v>30</v>
      </c>
      <c r="F8" s="21" t="n">
        <v>10</v>
      </c>
      <c r="G8" s="21" t="n">
        <v>2026</v>
      </c>
    </row>
    <row r="9" customFormat="false" ht="15" hidden="false" customHeight="true" outlineLevel="0" collapsed="false">
      <c r="A9" s="19" t="s">
        <v>122</v>
      </c>
      <c r="B9" s="20" t="n">
        <v>1000</v>
      </c>
      <c r="C9" s="20" t="n">
        <v>210</v>
      </c>
      <c r="D9" s="21" t="n">
        <v>5</v>
      </c>
      <c r="E9" s="21" t="n">
        <v>29</v>
      </c>
      <c r="F9" s="21" t="n">
        <v>10</v>
      </c>
      <c r="G9" s="21" t="n">
        <v>2026</v>
      </c>
    </row>
    <row r="10" customFormat="false" ht="15" hidden="false" customHeight="true" outlineLevel="0" collapsed="false">
      <c r="A10" s="19"/>
      <c r="B10" s="20"/>
      <c r="C10" s="20"/>
      <c r="D10" s="21"/>
      <c r="E10" s="21"/>
      <c r="F10" s="18"/>
      <c r="G10" s="18"/>
    </row>
    <row r="11" customFormat="false" ht="15" hidden="false" customHeight="true" outlineLevel="0" collapsed="false">
      <c r="A11" s="10"/>
      <c r="B11" s="12"/>
      <c r="C11" s="12"/>
      <c r="D11" s="18"/>
      <c r="E11" s="18"/>
      <c r="F11" s="18"/>
      <c r="G11" s="18"/>
    </row>
    <row r="12" customFormat="false" ht="15" hidden="false" customHeight="true" outlineLevel="0" collapsed="false">
      <c r="A12" s="10"/>
      <c r="B12" s="12"/>
      <c r="C12" s="12"/>
      <c r="D12" s="18"/>
      <c r="E12" s="18"/>
      <c r="F12" s="18"/>
      <c r="G12" s="18"/>
    </row>
    <row r="13" customFormat="false" ht="15" hidden="false" customHeight="true" outlineLevel="0" collapsed="false">
      <c r="A13" s="10"/>
      <c r="B13" s="12"/>
      <c r="C13" s="12"/>
      <c r="D13" s="18"/>
      <c r="E13" s="18"/>
      <c r="F13" s="18"/>
      <c r="G13" s="18"/>
    </row>
    <row r="14" customFormat="false" ht="15" hidden="false" customHeight="true" outlineLevel="0" collapsed="false">
      <c r="A14" s="10"/>
      <c r="B14" s="12"/>
      <c r="C14" s="12"/>
      <c r="D14" s="18"/>
      <c r="E14" s="18"/>
      <c r="F14" s="18"/>
      <c r="G14" s="18"/>
    </row>
    <row r="15" customFormat="false" ht="15" hidden="false" customHeight="true" outlineLevel="0" collapsed="false">
      <c r="A15" s="10"/>
      <c r="B15" s="12"/>
      <c r="C15" s="12"/>
      <c r="D15" s="18"/>
      <c r="E15" s="18"/>
      <c r="F15" s="18"/>
      <c r="G15" s="18"/>
    </row>
    <row r="16" customFormat="false" ht="15" hidden="false" customHeight="true" outlineLevel="0" collapsed="false">
      <c r="A16" s="10"/>
      <c r="B16" s="12"/>
      <c r="C16" s="12"/>
      <c r="D16" s="18"/>
      <c r="E16" s="18"/>
      <c r="F16" s="18"/>
      <c r="G16" s="18"/>
    </row>
    <row r="17" customFormat="false" ht="15" hidden="false" customHeight="true" outlineLevel="0" collapsed="false">
      <c r="A17" s="10"/>
      <c r="B17" s="12"/>
      <c r="C17" s="12"/>
      <c r="D17" s="18"/>
      <c r="E17" s="18"/>
      <c r="F17" s="18"/>
      <c r="G17" s="18"/>
    </row>
    <row r="18" customFormat="false" ht="15" hidden="false" customHeight="true" outlineLevel="0" collapsed="false">
      <c r="A18" s="10"/>
      <c r="B18" s="12"/>
      <c r="C18" s="12"/>
      <c r="D18" s="18"/>
      <c r="E18" s="18"/>
      <c r="F18" s="18"/>
      <c r="G18" s="18"/>
    </row>
    <row r="19" customFormat="false" ht="15" hidden="false" customHeight="true" outlineLevel="0" collapsed="false">
      <c r="A19" s="14" t="s">
        <v>123</v>
      </c>
      <c r="B19" s="15" t="n">
        <f aca="false">SUM(B5:B18)</f>
        <v>49684.56</v>
      </c>
      <c r="C19" s="15" t="n">
        <f aca="false">SUM(C5:C18)</f>
        <v>2658.37</v>
      </c>
      <c r="D19" s="17"/>
      <c r="E19" s="17"/>
      <c r="F19" s="17"/>
      <c r="G19" s="17"/>
    </row>
    <row r="21" customFormat="false" ht="15" hidden="false" customHeight="true" outlineLevel="0" collapsed="false">
      <c r="A21" s="7" t="s">
        <v>110</v>
      </c>
    </row>
    <row r="22" customFormat="false" ht="15" hidden="false" customHeight="true" outlineLevel="0" collapsed="false">
      <c r="A22" s="7" t="s">
        <v>124</v>
      </c>
    </row>
    <row r="23" customFormat="false" ht="15" hidden="false" customHeight="true" outlineLevel="0" collapsed="false">
      <c r="A23" s="7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6"/>
  </cols>
  <sheetData>
    <row r="1" customFormat="false" ht="21.75" hidden="false" customHeight="true" outlineLevel="0" collapsed="false">
      <c r="A1" s="6" t="s">
        <v>126</v>
      </c>
    </row>
    <row r="2" customFormat="false" ht="15" hidden="false" customHeight="true" outlineLevel="0" collapsed="false">
      <c r="A2" s="7" t="s">
        <v>127</v>
      </c>
    </row>
    <row r="4" customFormat="false" ht="30" hidden="false" customHeight="true" outlineLevel="0" collapsed="false">
      <c r="A4" s="8" t="s">
        <v>128</v>
      </c>
      <c r="B4" s="8" t="s">
        <v>129</v>
      </c>
      <c r="C4" s="8" t="s">
        <v>130</v>
      </c>
      <c r="D4" s="8" t="s">
        <v>131</v>
      </c>
      <c r="E4" s="8" t="s">
        <v>132</v>
      </c>
    </row>
    <row r="5" customFormat="false" ht="15" hidden="false" customHeight="true" outlineLevel="0" collapsed="false">
      <c r="A5" s="10" t="s">
        <v>133</v>
      </c>
      <c r="B5" s="10" t="s">
        <v>134</v>
      </c>
      <c r="C5" s="12" t="n">
        <v>45</v>
      </c>
      <c r="D5" s="18" t="n">
        <v>5</v>
      </c>
      <c r="E5" s="10" t="s">
        <v>57</v>
      </c>
    </row>
    <row r="6" customFormat="false" ht="15" hidden="false" customHeight="true" outlineLevel="0" collapsed="false">
      <c r="A6" s="10" t="s">
        <v>135</v>
      </c>
      <c r="B6" s="10" t="s">
        <v>134</v>
      </c>
      <c r="C6" s="12" t="n">
        <v>50</v>
      </c>
      <c r="D6" s="18" t="n">
        <v>10</v>
      </c>
      <c r="E6" s="10" t="s">
        <v>57</v>
      </c>
    </row>
    <row r="7" customFormat="false" ht="15" hidden="false" customHeight="true" outlineLevel="0" collapsed="false">
      <c r="A7" s="10" t="s">
        <v>136</v>
      </c>
      <c r="B7" s="10" t="s">
        <v>134</v>
      </c>
      <c r="C7" s="12" t="n">
        <v>80</v>
      </c>
      <c r="D7" s="18" t="n">
        <v>15</v>
      </c>
      <c r="E7" s="10" t="s">
        <v>57</v>
      </c>
    </row>
    <row r="8" customFormat="false" ht="15" hidden="false" customHeight="true" outlineLevel="0" collapsed="false">
      <c r="A8" s="10"/>
      <c r="B8" s="10"/>
      <c r="C8" s="12"/>
      <c r="D8" s="18"/>
      <c r="E8" s="10"/>
    </row>
    <row r="9" customFormat="false" ht="15" hidden="false" customHeight="true" outlineLevel="0" collapsed="false">
      <c r="A9" s="10"/>
      <c r="B9" s="10"/>
      <c r="C9" s="12"/>
      <c r="D9" s="18"/>
      <c r="E9" s="10"/>
    </row>
    <row r="10" customFormat="false" ht="15" hidden="false" customHeight="true" outlineLevel="0" collapsed="false">
      <c r="A10" s="10"/>
      <c r="B10" s="10"/>
      <c r="C10" s="12"/>
      <c r="D10" s="18"/>
      <c r="E10" s="10"/>
    </row>
    <row r="11" customFormat="false" ht="15" hidden="false" customHeight="true" outlineLevel="0" collapsed="false">
      <c r="A11" s="10"/>
      <c r="B11" s="10"/>
      <c r="C11" s="12"/>
      <c r="D11" s="18"/>
      <c r="E11" s="10"/>
    </row>
    <row r="12" customFormat="false" ht="15" hidden="false" customHeight="true" outlineLevel="0" collapsed="false">
      <c r="A12" s="10"/>
      <c r="B12" s="10"/>
      <c r="C12" s="12"/>
      <c r="D12" s="18"/>
      <c r="E12" s="10"/>
    </row>
    <row r="13" customFormat="false" ht="15" hidden="false" customHeight="true" outlineLevel="0" collapsed="false">
      <c r="A13" s="10"/>
      <c r="B13" s="10"/>
      <c r="C13" s="12"/>
      <c r="D13" s="18"/>
      <c r="E13" s="10"/>
    </row>
    <row r="14" customFormat="false" ht="15" hidden="false" customHeight="true" outlineLevel="0" collapsed="false">
      <c r="A14" s="10"/>
      <c r="B14" s="10"/>
      <c r="C14" s="12"/>
      <c r="D14" s="18"/>
      <c r="E14" s="10"/>
    </row>
    <row r="15" customFormat="false" ht="15" hidden="false" customHeight="true" outlineLevel="0" collapsed="false">
      <c r="A15" s="10"/>
      <c r="B15" s="10"/>
      <c r="C15" s="12"/>
      <c r="D15" s="18"/>
      <c r="E15" s="10"/>
    </row>
    <row r="16" customFormat="false" ht="15" hidden="false" customHeight="true" outlineLevel="0" collapsed="false">
      <c r="A16" s="10"/>
      <c r="B16" s="10"/>
      <c r="C16" s="12"/>
      <c r="D16" s="18"/>
      <c r="E16" s="10"/>
    </row>
    <row r="17" customFormat="false" ht="15" hidden="false" customHeight="true" outlineLevel="0" collapsed="false">
      <c r="A17" s="10"/>
      <c r="B17" s="10"/>
      <c r="C17" s="12"/>
      <c r="D17" s="18"/>
      <c r="E17" s="10"/>
    </row>
    <row r="18" customFormat="false" ht="15" hidden="false" customHeight="true" outlineLevel="0" collapsed="false">
      <c r="A18" s="10"/>
      <c r="B18" s="10"/>
      <c r="C18" s="12"/>
      <c r="D18" s="18"/>
      <c r="E18" s="10"/>
    </row>
    <row r="19" customFormat="false" ht="15" hidden="false" customHeight="true" outlineLevel="0" collapsed="false">
      <c r="A19" s="10"/>
      <c r="B19" s="10"/>
      <c r="C19" s="12"/>
      <c r="D19" s="18"/>
      <c r="E19" s="10"/>
    </row>
    <row r="20" customFormat="false" ht="15" hidden="false" customHeight="true" outlineLevel="0" collapsed="false">
      <c r="A20" s="10"/>
      <c r="B20" s="10"/>
      <c r="C20" s="12"/>
      <c r="D20" s="18"/>
      <c r="E20" s="10"/>
    </row>
    <row r="21" customFormat="false" ht="15" hidden="false" customHeight="true" outlineLevel="0" collapsed="false">
      <c r="A21" s="10"/>
      <c r="B21" s="10"/>
      <c r="C21" s="12"/>
      <c r="D21" s="18"/>
      <c r="E21" s="10"/>
    </row>
    <row r="22" customFormat="false" ht="15" hidden="false" customHeight="true" outlineLevel="0" collapsed="false">
      <c r="A22" s="10"/>
      <c r="B22" s="10"/>
      <c r="C22" s="12"/>
      <c r="D22" s="18"/>
      <c r="E22" s="10"/>
    </row>
    <row r="23" customFormat="false" ht="15" hidden="false" customHeight="true" outlineLevel="0" collapsed="false">
      <c r="A23" s="10"/>
      <c r="B23" s="10"/>
      <c r="C23" s="12"/>
      <c r="D23" s="18"/>
      <c r="E23" s="10"/>
    </row>
    <row r="24" customFormat="false" ht="15" hidden="false" customHeight="true" outlineLevel="0" collapsed="false">
      <c r="A24" s="10"/>
      <c r="B24" s="10"/>
      <c r="C24" s="12"/>
      <c r="D24" s="18"/>
      <c r="E24" s="10"/>
    </row>
    <row r="25" customFormat="false" ht="15" hidden="false" customHeight="true" outlineLevel="0" collapsed="false">
      <c r="A25" s="10"/>
      <c r="B25" s="10"/>
      <c r="C25" s="12"/>
      <c r="D25" s="18"/>
      <c r="E25" s="10"/>
    </row>
    <row r="26" customFormat="false" ht="15" hidden="false" customHeight="true" outlineLevel="0" collapsed="false">
      <c r="A26" s="10"/>
      <c r="B26" s="10"/>
      <c r="C26" s="12"/>
      <c r="D26" s="18"/>
      <c r="E26" s="10"/>
    </row>
    <row r="27" customFormat="false" ht="15" hidden="false" customHeight="true" outlineLevel="0" collapsed="false">
      <c r="A27" s="14" t="s">
        <v>137</v>
      </c>
      <c r="B27" s="17"/>
      <c r="C27" s="15" t="n">
        <f aca="false">SUM(C5:C26)</f>
        <v>175</v>
      </c>
      <c r="D27" s="17"/>
      <c r="E27" s="17"/>
    </row>
    <row r="29" customFormat="false" ht="15" hidden="false" customHeight="true" outlineLevel="0" collapsed="false">
      <c r="A29" s="7" t="s">
        <v>138</v>
      </c>
    </row>
    <row r="30" customFormat="false" ht="15" hidden="false" customHeight="true" outlineLevel="0" collapsed="false">
      <c r="A30" s="7" t="s">
        <v>139</v>
      </c>
    </row>
    <row r="31" customFormat="false" ht="15" hidden="false" customHeight="true" outlineLevel="0" collapsed="false">
      <c r="A31" s="7" t="s">
        <v>140</v>
      </c>
    </row>
    <row r="32" customFormat="false" ht="15" hidden="false" customHeight="true" outlineLevel="0" collapsed="false">
      <c r="A32" s="7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7"/>
    <col collapsed="false" customWidth="true" hidden="false" outlineLevel="0" max="4" min="4" style="1" width="62"/>
  </cols>
  <sheetData>
    <row r="1" customFormat="false" ht="21.75" hidden="false" customHeight="true" outlineLevel="0" collapsed="false">
      <c r="A1" s="6" t="s">
        <v>142</v>
      </c>
    </row>
    <row r="2" customFormat="false" ht="15" hidden="false" customHeight="true" outlineLevel="0" collapsed="false">
      <c r="A2" s="7" t="s">
        <v>143</v>
      </c>
    </row>
    <row r="4" customFormat="false" ht="30" hidden="false" customHeight="true" outlineLevel="0" collapsed="false">
      <c r="A4" s="8" t="s">
        <v>129</v>
      </c>
      <c r="B4" s="8" t="s">
        <v>144</v>
      </c>
      <c r="C4" s="8" t="s">
        <v>145</v>
      </c>
      <c r="D4" s="8" t="s">
        <v>146</v>
      </c>
    </row>
    <row r="5" customFormat="false" ht="27.75" hidden="false" customHeight="true" outlineLevel="0" collapsed="false">
      <c r="A5" s="9" t="s">
        <v>147</v>
      </c>
      <c r="B5" s="24" t="s">
        <v>148</v>
      </c>
      <c r="C5" s="12" t="n">
        <v>750</v>
      </c>
      <c r="D5" s="25" t="s">
        <v>149</v>
      </c>
    </row>
    <row r="6" customFormat="false" ht="27.75" hidden="false" customHeight="true" outlineLevel="0" collapsed="false">
      <c r="A6" s="9" t="s">
        <v>150</v>
      </c>
      <c r="B6" s="24" t="s">
        <v>148</v>
      </c>
      <c r="C6" s="12" t="n">
        <v>150</v>
      </c>
      <c r="D6" s="25" t="s">
        <v>151</v>
      </c>
    </row>
    <row r="7" customFormat="false" ht="27.75" hidden="false" customHeight="true" outlineLevel="0" collapsed="false">
      <c r="A7" s="9" t="s">
        <v>134</v>
      </c>
      <c r="B7" s="24" t="s">
        <v>148</v>
      </c>
      <c r="C7" s="12" t="n">
        <v>175</v>
      </c>
      <c r="D7" s="25" t="s">
        <v>152</v>
      </c>
    </row>
    <row r="8" customFormat="false" ht="27.75" hidden="false" customHeight="true" outlineLevel="0" collapsed="false">
      <c r="A8" s="9" t="s">
        <v>153</v>
      </c>
      <c r="B8" s="24" t="s">
        <v>148</v>
      </c>
      <c r="C8" s="12" t="n">
        <v>0</v>
      </c>
      <c r="D8" s="25" t="s">
        <v>154</v>
      </c>
    </row>
    <row r="9" customFormat="false" ht="27.75" hidden="false" customHeight="true" outlineLevel="0" collapsed="false">
      <c r="A9" s="9" t="s">
        <v>155</v>
      </c>
      <c r="B9" s="24" t="s">
        <v>148</v>
      </c>
      <c r="C9" s="12" t="n">
        <v>0</v>
      </c>
      <c r="D9" s="25" t="s">
        <v>156</v>
      </c>
    </row>
    <row r="10" customFormat="false" ht="27.75" hidden="false" customHeight="true" outlineLevel="0" collapsed="false">
      <c r="A10" s="9" t="s">
        <v>157</v>
      </c>
      <c r="B10" s="24" t="s">
        <v>158</v>
      </c>
      <c r="C10" s="12" t="n">
        <v>0</v>
      </c>
      <c r="D10" s="25" t="s">
        <v>159</v>
      </c>
    </row>
    <row r="11" customFormat="false" ht="27.75" hidden="false" customHeight="true" outlineLevel="0" collapsed="false">
      <c r="A11" s="9" t="s">
        <v>160</v>
      </c>
      <c r="B11" s="24" t="s">
        <v>161</v>
      </c>
      <c r="C11" s="12" t="n">
        <v>200</v>
      </c>
      <c r="D11" s="25" t="s">
        <v>162</v>
      </c>
    </row>
    <row r="12" customFormat="false" ht="27.75" hidden="false" customHeight="true" outlineLevel="0" collapsed="false">
      <c r="A12" s="9" t="s">
        <v>163</v>
      </c>
      <c r="B12" s="24" t="s">
        <v>161</v>
      </c>
      <c r="C12" s="12" t="n">
        <v>0</v>
      </c>
      <c r="D12" s="25" t="s">
        <v>164</v>
      </c>
    </row>
    <row r="13" customFormat="false" ht="27.75" hidden="false" customHeight="true" outlineLevel="0" collapsed="false">
      <c r="A13" s="9" t="s">
        <v>165</v>
      </c>
      <c r="B13" s="24" t="s">
        <v>161</v>
      </c>
      <c r="C13" s="12" t="n">
        <v>0</v>
      </c>
      <c r="D13" s="25" t="s">
        <v>166</v>
      </c>
    </row>
    <row r="14" customFormat="false" ht="27.75" hidden="false" customHeight="true" outlineLevel="0" collapsed="false">
      <c r="A14" s="9" t="s">
        <v>167</v>
      </c>
      <c r="B14" s="24" t="s">
        <v>161</v>
      </c>
      <c r="C14" s="12" t="n">
        <v>150</v>
      </c>
      <c r="D14" s="25" t="s">
        <v>168</v>
      </c>
    </row>
    <row r="15" customFormat="false" ht="27.75" hidden="false" customHeight="true" outlineLevel="0" collapsed="false">
      <c r="A15" s="9" t="s">
        <v>169</v>
      </c>
      <c r="B15" s="24" t="s">
        <v>161</v>
      </c>
      <c r="C15" s="12" t="n">
        <v>300</v>
      </c>
      <c r="D15" s="25" t="s">
        <v>170</v>
      </c>
    </row>
    <row r="16" customFormat="false" ht="27.75" hidden="false" customHeight="true" outlineLevel="0" collapsed="false">
      <c r="A16" s="9" t="s">
        <v>171</v>
      </c>
      <c r="B16" s="24" t="s">
        <v>75</v>
      </c>
      <c r="C16" s="12" t="n">
        <v>0</v>
      </c>
      <c r="D16" s="25" t="s">
        <v>172</v>
      </c>
    </row>
    <row r="17" customFormat="false" ht="27.75" hidden="false" customHeight="true" outlineLevel="0" collapsed="false">
      <c r="A17" s="9" t="s">
        <v>173</v>
      </c>
      <c r="B17" s="24" t="s">
        <v>75</v>
      </c>
      <c r="C17" s="12" t="n">
        <v>0</v>
      </c>
      <c r="D17" s="25" t="s">
        <v>174</v>
      </c>
    </row>
    <row r="18" customFormat="false" ht="15" hidden="false" customHeight="true" outlineLevel="0" collapsed="false">
      <c r="A18" s="14" t="s">
        <v>175</v>
      </c>
      <c r="B18" s="17"/>
      <c r="C18" s="15" t="n">
        <f aca="false">SUM(C5:C17)</f>
        <v>1725</v>
      </c>
      <c r="D18" s="17"/>
    </row>
    <row r="20" customFormat="false" ht="15" hidden="false" customHeight="true" outlineLevel="0" collapsed="false">
      <c r="A20" s="26" t="s">
        <v>176</v>
      </c>
    </row>
    <row r="21" customFormat="false" ht="30" hidden="false" customHeight="true" outlineLevel="0" collapsed="false">
      <c r="A21" s="8" t="s">
        <v>144</v>
      </c>
      <c r="B21" s="8" t="s">
        <v>177</v>
      </c>
      <c r="C21" s="8" t="s">
        <v>178</v>
      </c>
      <c r="D21" s="8" t="s">
        <v>179</v>
      </c>
    </row>
    <row r="22" customFormat="false" ht="15" hidden="false" customHeight="true" outlineLevel="0" collapsed="false">
      <c r="A22" s="9" t="s">
        <v>180</v>
      </c>
      <c r="B22" s="23" t="n">
        <f aca="false">IFERROR('1 Perfil'!$B$19*0.5,0)</f>
        <v>1484.97</v>
      </c>
      <c r="C22" s="23" t="n">
        <f aca="false">SUMIF($B$5:$B$17,"Necesidad",$C$5:$C$17)</f>
        <v>1075</v>
      </c>
      <c r="D22" s="23" t="n">
        <f aca="false">C22-B22</f>
        <v>-409.97</v>
      </c>
    </row>
    <row r="23" customFormat="false" ht="15" hidden="false" customHeight="true" outlineLevel="0" collapsed="false">
      <c r="A23" s="9" t="s">
        <v>181</v>
      </c>
      <c r="B23" s="23" t="n">
        <f aca="false">IFERROR('1 Perfil'!$B$19*0.3,0)</f>
        <v>890.982</v>
      </c>
      <c r="C23" s="23" t="n">
        <f aca="false">SUMIF($B$5:$B$17,"Gusto",$C$5:$C$17)</f>
        <v>650</v>
      </c>
      <c r="D23" s="23" t="n">
        <f aca="false">C23-B23</f>
        <v>-240.982</v>
      </c>
    </row>
    <row r="24" customFormat="false" ht="15" hidden="false" customHeight="true" outlineLevel="0" collapsed="false">
      <c r="A24" s="9" t="s">
        <v>182</v>
      </c>
      <c r="B24" s="23" t="n">
        <f aca="false">IFERROR('1 Perfil'!$B$19*0.2,0)</f>
        <v>593.988</v>
      </c>
      <c r="C24" s="23" t="n">
        <f aca="false">SUMIF($B$5:$B$17,"Ahorro",$C$5:$C$17)+SUMIF($B$5:$B$17,"Deuda",$C$5:$C$17)</f>
        <v>0</v>
      </c>
      <c r="D24" s="23" t="n">
        <f aca="false">C24-B24</f>
        <v>-593.988</v>
      </c>
    </row>
    <row r="26" customFormat="false" ht="15" hidden="false" customHeight="true" outlineLevel="0" collapsed="false">
      <c r="A26" s="7" t="s">
        <v>183</v>
      </c>
    </row>
    <row r="27" customFormat="false" ht="15" hidden="false" customHeight="true" outlineLevel="0" collapsed="false">
      <c r="A27" s="7" t="s">
        <v>184</v>
      </c>
    </row>
    <row r="28" customFormat="false" ht="15" hidden="false" customHeight="true" outlineLevel="0" collapsed="false">
      <c r="A28" s="7" t="s">
        <v>185</v>
      </c>
    </row>
    <row r="30" customFormat="false" ht="15" hidden="false" customHeight="false" outlineLevel="0" collapsed="false">
      <c r="A30" s="27" t="s">
        <v>186</v>
      </c>
      <c r="B30" s="28"/>
      <c r="C30" s="28"/>
      <c r="D30" s="28"/>
    </row>
    <row r="31" customFormat="false" ht="15" hidden="false" customHeight="false" outlineLevel="0" collapsed="false">
      <c r="A31" s="29" t="s">
        <v>128</v>
      </c>
      <c r="B31" s="29" t="s">
        <v>130</v>
      </c>
      <c r="C31" s="28"/>
      <c r="D31" s="28"/>
    </row>
    <row r="32" customFormat="false" ht="15" hidden="false" customHeight="false" outlineLevel="0" collapsed="false">
      <c r="A32" s="30" t="s">
        <v>187</v>
      </c>
      <c r="B32" s="23" t="n">
        <f aca="false">'1 Perfil'!$B$14+'1 Perfil'!$B$15</f>
        <v>2969.94</v>
      </c>
      <c r="C32" s="31" t="s">
        <v>188</v>
      </c>
      <c r="D32" s="28"/>
    </row>
    <row r="33" customFormat="false" ht="15" hidden="false" customHeight="false" outlineLevel="0" collapsed="false">
      <c r="A33" s="30" t="s">
        <v>189</v>
      </c>
      <c r="B33" s="23" t="n">
        <f aca="false">$C$18</f>
        <v>1725</v>
      </c>
      <c r="C33" s="31" t="s">
        <v>190</v>
      </c>
      <c r="D33" s="28"/>
    </row>
    <row r="34" customFormat="false" ht="15" hidden="false" customHeight="false" outlineLevel="0" collapsed="false">
      <c r="A34" s="30" t="s">
        <v>191</v>
      </c>
      <c r="B34" s="23" t="n">
        <f aca="false">'4 Cuotas tarjeta'!$H$27</f>
        <v>5713</v>
      </c>
      <c r="C34" s="31" t="s">
        <v>192</v>
      </c>
      <c r="D34" s="28"/>
    </row>
    <row r="35" customFormat="false" ht="15" hidden="false" customHeight="false" outlineLevel="0" collapsed="false">
      <c r="A35" s="30" t="s">
        <v>193</v>
      </c>
      <c r="B35" s="23" t="n">
        <f aca="false">'5 Prestamos'!$C$19</f>
        <v>2658.37</v>
      </c>
      <c r="C35" s="31" t="s">
        <v>194</v>
      </c>
      <c r="D35" s="28"/>
    </row>
    <row r="36" customFormat="false" ht="15" hidden="false" customHeight="false" outlineLevel="0" collapsed="false">
      <c r="A36" s="14" t="s">
        <v>195</v>
      </c>
      <c r="B36" s="32" t="n">
        <f aca="false">B33+B34+B35</f>
        <v>10096.37</v>
      </c>
      <c r="C36" s="31" t="s">
        <v>196</v>
      </c>
      <c r="D36" s="28"/>
    </row>
    <row r="37" customFormat="false" ht="15" hidden="false" customHeight="false" outlineLevel="0" collapsed="false">
      <c r="A37" s="14" t="s">
        <v>197</v>
      </c>
      <c r="B37" s="33" t="n">
        <f aca="false">B32-B36</f>
        <v>-7126.43</v>
      </c>
      <c r="C37" s="31" t="s">
        <v>198</v>
      </c>
      <c r="D37" s="28"/>
    </row>
    <row r="38" customFormat="false" ht="15" hidden="false" customHeight="false" outlineLevel="0" collapsed="false">
      <c r="A38" s="30" t="s">
        <v>199</v>
      </c>
      <c r="B38" s="23" t="n">
        <v>2550</v>
      </c>
      <c r="C38" s="31" t="s">
        <v>200</v>
      </c>
      <c r="D38" s="28"/>
    </row>
    <row r="39" customFormat="false" ht="15" hidden="false" customHeight="false" outlineLevel="0" collapsed="false">
      <c r="A39" s="30" t="s">
        <v>201</v>
      </c>
      <c r="B39" s="23" t="n">
        <v>2500</v>
      </c>
      <c r="C39" s="31" t="s">
        <v>202</v>
      </c>
      <c r="D39" s="28"/>
    </row>
    <row r="40" customFormat="false" ht="15" hidden="false" customHeight="false" outlineLevel="0" collapsed="false">
      <c r="A40" s="14" t="s">
        <v>203</v>
      </c>
      <c r="B40" s="32" t="n">
        <f aca="false">B33+B38+B35+B39</f>
        <v>9433.37</v>
      </c>
      <c r="C40" s="31" t="s">
        <v>204</v>
      </c>
      <c r="D40" s="28"/>
    </row>
    <row r="41" customFormat="false" ht="15" hidden="false" customHeight="false" outlineLevel="0" collapsed="false">
      <c r="A41" s="14" t="s">
        <v>205</v>
      </c>
      <c r="B41" s="33" t="n">
        <f aca="false">B32-B40</f>
        <v>-6463.43</v>
      </c>
      <c r="C41" s="31" t="s">
        <v>206</v>
      </c>
      <c r="D41" s="28"/>
    </row>
    <row r="42" customFormat="false" ht="15" hidden="false" customHeight="false" outlineLevel="0" collapsed="false">
      <c r="A42" s="34" t="s">
        <v>207</v>
      </c>
      <c r="B42" s="35" t="n">
        <f aca="false">B33+B35</f>
        <v>4383.37</v>
      </c>
      <c r="C42" s="36" t="s">
        <v>208</v>
      </c>
      <c r="D42" s="28"/>
    </row>
    <row r="43" customFormat="false" ht="15" hidden="false" customHeight="false" outlineLevel="0" collapsed="false">
      <c r="A43" s="14" t="s">
        <v>209</v>
      </c>
      <c r="B43" s="37" t="n">
        <f aca="false">B32-B42</f>
        <v>-1413.43</v>
      </c>
      <c r="C43" s="36" t="s">
        <v>210</v>
      </c>
      <c r="D43" s="28"/>
    </row>
    <row r="44" customFormat="false" ht="15" hidden="false" customHeight="false" outlineLevel="0" collapsed="false">
      <c r="A44" s="30" t="s">
        <v>211</v>
      </c>
      <c r="B44" s="38" t="n">
        <f aca="false">14000/12</f>
        <v>1166.66666666667</v>
      </c>
      <c r="C44" s="36" t="s">
        <v>212</v>
      </c>
      <c r="D44" s="28"/>
    </row>
    <row r="45" customFormat="false" ht="15" hidden="false" customHeight="false" outlineLevel="0" collapsed="false">
      <c r="A45" s="14" t="s">
        <v>213</v>
      </c>
      <c r="B45" s="37" t="n">
        <f aca="false">B43+B44</f>
        <v>-246.763333333333</v>
      </c>
      <c r="C45" s="36" t="s">
        <v>214</v>
      </c>
      <c r="D45" s="28"/>
    </row>
    <row r="46" customFormat="false" ht="15" hidden="false" customHeight="false" outlineLevel="0" collapsed="false">
      <c r="A46" s="28"/>
      <c r="B46" s="28"/>
      <c r="C46" s="28"/>
      <c r="D46" s="28"/>
    </row>
    <row r="47" customFormat="false" ht="15" hidden="false" customHeight="false" outlineLevel="0" collapsed="false">
      <c r="A47" s="36" t="s">
        <v>215</v>
      </c>
      <c r="B47" s="28"/>
      <c r="C47" s="28"/>
      <c r="D47" s="28"/>
    </row>
    <row r="48" customFormat="false" ht="15" hidden="false" customHeight="false" outlineLevel="0" collapsed="false">
      <c r="A48" s="36" t="s">
        <v>216</v>
      </c>
      <c r="B48" s="28"/>
      <c r="C48" s="28"/>
      <c r="D48" s="28"/>
    </row>
    <row r="49" customFormat="false" ht="15" hidden="false" customHeight="false" outlineLevel="0" collapsed="false">
      <c r="A49" s="36" t="s">
        <v>217</v>
      </c>
      <c r="B49" s="28"/>
      <c r="C49" s="28"/>
      <c r="D49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8"/>
    <col collapsed="false" customWidth="true" hidden="false" outlineLevel="0" max="4" min="4" style="1" width="20"/>
  </cols>
  <sheetData>
    <row r="1" customFormat="false" ht="21.75" hidden="false" customHeight="true" outlineLevel="0" collapsed="false">
      <c r="A1" s="6" t="s">
        <v>218</v>
      </c>
    </row>
    <row r="2" customFormat="false" ht="15" hidden="false" customHeight="true" outlineLevel="0" collapsed="false">
      <c r="A2" s="7" t="s">
        <v>219</v>
      </c>
    </row>
    <row r="4" customFormat="false" ht="30" hidden="false" customHeight="true" outlineLevel="0" collapsed="false">
      <c r="A4" s="8" t="s">
        <v>220</v>
      </c>
      <c r="B4" s="8" t="s">
        <v>221</v>
      </c>
      <c r="C4" s="8" t="s">
        <v>222</v>
      </c>
      <c r="D4" s="8" t="s">
        <v>223</v>
      </c>
    </row>
    <row r="5" customFormat="false" ht="15" hidden="false" customHeight="true" outlineLevel="0" collapsed="false">
      <c r="A5" s="10" t="s">
        <v>224</v>
      </c>
      <c r="B5" s="12" t="n">
        <v>2500</v>
      </c>
      <c r="C5" s="12" t="n">
        <v>0</v>
      </c>
      <c r="D5" s="10" t="s">
        <v>225</v>
      </c>
    </row>
    <row r="6" customFormat="false" ht="15" hidden="false" customHeight="true" outlineLevel="0" collapsed="false">
      <c r="A6" s="10" t="s">
        <v>226</v>
      </c>
      <c r="B6" s="12" t="n">
        <v>5175</v>
      </c>
      <c r="C6" s="12" t="n">
        <v>9500</v>
      </c>
      <c r="D6" s="10" t="s">
        <v>227</v>
      </c>
    </row>
    <row r="7" customFormat="false" ht="15" hidden="false" customHeight="true" outlineLevel="0" collapsed="false">
      <c r="A7" s="10"/>
      <c r="B7" s="12"/>
      <c r="C7" s="12"/>
      <c r="D7" s="10"/>
    </row>
    <row r="8" customFormat="false" ht="15" hidden="false" customHeight="true" outlineLevel="0" collapsed="false">
      <c r="A8" s="10"/>
      <c r="B8" s="12"/>
      <c r="C8" s="12"/>
      <c r="D8" s="10"/>
    </row>
    <row r="9" customFormat="false" ht="15" hidden="false" customHeight="true" outlineLevel="0" collapsed="false">
      <c r="A9" s="10"/>
      <c r="B9" s="12"/>
      <c r="C9" s="12"/>
      <c r="D9" s="10"/>
    </row>
    <row r="10" customFormat="false" ht="15" hidden="false" customHeight="true" outlineLevel="0" collapsed="false">
      <c r="A10" s="10"/>
      <c r="B10" s="12"/>
      <c r="C10" s="12"/>
      <c r="D10" s="10"/>
    </row>
    <row r="11" customFormat="false" ht="15" hidden="false" customHeight="true" outlineLevel="0" collapsed="false">
      <c r="A11" s="10"/>
      <c r="B11" s="12"/>
      <c r="C11" s="12"/>
      <c r="D11" s="10"/>
    </row>
    <row r="12" customFormat="false" ht="15" hidden="false" customHeight="true" outlineLevel="0" collapsed="false">
      <c r="A12" s="10"/>
      <c r="B12" s="12"/>
      <c r="C12" s="12"/>
      <c r="D12" s="10"/>
    </row>
    <row r="13" customFormat="false" ht="15" hidden="false" customHeight="true" outlineLevel="0" collapsed="false">
      <c r="A13" s="10"/>
      <c r="B13" s="12"/>
      <c r="C13" s="12"/>
      <c r="D13" s="10"/>
    </row>
    <row r="14" customFormat="false" ht="15" hidden="false" customHeight="true" outlineLevel="0" collapsed="false">
      <c r="A14" s="10"/>
      <c r="B14" s="12"/>
      <c r="C14" s="12"/>
      <c r="D14" s="10"/>
    </row>
    <row r="15" customFormat="false" ht="15" hidden="false" customHeight="true" outlineLevel="0" collapsed="false">
      <c r="A15" s="10"/>
      <c r="B15" s="12"/>
      <c r="C15" s="12"/>
      <c r="D15" s="10"/>
    </row>
    <row r="16" customFormat="false" ht="15" hidden="false" customHeight="true" outlineLevel="0" collapsed="false">
      <c r="A16" s="10"/>
      <c r="B16" s="12"/>
      <c r="C16" s="12"/>
      <c r="D16" s="10"/>
    </row>
    <row r="19" customFormat="false" ht="15" hidden="false" customHeight="true" outlineLevel="0" collapsed="false">
      <c r="A19" s="7" t="s">
        <v>228</v>
      </c>
    </row>
    <row r="20" customFormat="false" ht="15" hidden="false" customHeight="true" outlineLevel="0" collapsed="false">
      <c r="A20" s="7" t="s">
        <v>229</v>
      </c>
    </row>
    <row r="21" customFormat="false" ht="15" hidden="false" customHeight="true" outlineLevel="0" collapsed="false">
      <c r="A21" s="7" t="s">
        <v>230</v>
      </c>
    </row>
    <row r="22" customFormat="false" ht="15" hidden="false" customHeight="true" outlineLevel="0" collapsed="false">
      <c r="A22" s="7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2026-10-01T21:10:02Z</dcterms:created>
  <dc:creator>openpyxl</dc:creator>
  <dc:description/>
  <dc:language>en-US</dc:language>
  <cp:lastModifiedBy>Jordan Sanchez</cp:lastModifiedBy>
  <dcterms:modified xsi:type="dcterms:W3CDTF">2026-10-01T21:37:54Z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